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rage Automation\Storage Automation\data\input\"/>
    </mc:Choice>
  </mc:AlternateContent>
  <xr:revisionPtr revIDLastSave="0" documentId="13_ncr:1_{BC5F614D-C447-47C3-8FD1-535365DAF76C}" xr6:coauthVersionLast="47" xr6:coauthVersionMax="47" xr10:uidLastSave="{00000000-0000-0000-0000-000000000000}"/>
  <bookViews>
    <workbookView xWindow="-110" yWindow="-110" windowWidth="19420" windowHeight="10300" xr2:uid="{DCB1F7E0-CBA3-4EDC-903A-062F2014960F}"/>
  </bookViews>
  <sheets>
    <sheet name="ACX_NCC-Strg-DC Power Store" sheetId="2" r:id="rId1"/>
  </sheets>
  <definedNames>
    <definedName name="_xlnm._FilterDatabase" localSheetId="0" hidden="1">'ACX_NCC-Strg-DC Power Store'!$B$4:$B$298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7" i="2" l="1"/>
  <c r="M111" i="2"/>
  <c r="N177" i="2"/>
  <c r="M195" i="2"/>
  <c r="N111" i="2"/>
  <c r="M178" i="2" l="1"/>
  <c r="M112" i="2"/>
</calcChain>
</file>

<file path=xl/sharedStrings.xml><?xml version="1.0" encoding="utf-8"?>
<sst xmlns="http://schemas.openxmlformats.org/spreadsheetml/2006/main" count="749" uniqueCount="464">
  <si>
    <t>No.</t>
  </si>
  <si>
    <t>HostGroup</t>
  </si>
  <si>
    <t>Host Name</t>
  </si>
  <si>
    <t>WWPN</t>
  </si>
  <si>
    <t>SanSwitch-AliasName</t>
  </si>
  <si>
    <t>Status</t>
  </si>
  <si>
    <t>StorageFE-Ports</t>
  </si>
  <si>
    <t>NAA-ID</t>
  </si>
  <si>
    <t>LUN-NAME</t>
  </si>
  <si>
    <t>Description</t>
  </si>
  <si>
    <t>LUN-ID</t>
  </si>
  <si>
    <t>SIZE  TB</t>
  </si>
  <si>
    <t>SIZE  GB</t>
  </si>
  <si>
    <t>ACX-ESXi-HOSTGROUP</t>
  </si>
  <si>
    <t>ACXDCENTWLD01</t>
  </si>
  <si>
    <t>ACXDCENTWLD01_p1</t>
  </si>
  <si>
    <t>ONLINE</t>
  </si>
  <si>
    <r>
      <rPr>
        <b/>
        <sz val="9"/>
        <color rgb="FF7030A0"/>
        <rFont val="Aptos Narrow"/>
        <family val="2"/>
        <scheme val="minor"/>
      </rPr>
      <t>58:cc:f0:90:4d:20:11:97</t>
    </r>
    <r>
      <rPr>
        <b/>
        <sz val="9"/>
        <color theme="1"/>
        <rFont val="Aptos Narrow"/>
        <family val="2"/>
        <scheme val="minor"/>
      </rPr>
      <t>-</t>
    </r>
    <r>
      <rPr>
        <b/>
        <sz val="9"/>
        <color theme="5" tint="-0.249977111117893"/>
        <rFont val="Aptos Narrow"/>
        <family val="2"/>
        <scheme val="minor"/>
      </rPr>
      <t>58:cc:f0:98:4d:20:11:97</t>
    </r>
    <r>
      <rPr>
        <b/>
        <sz val="9"/>
        <color theme="1"/>
        <rFont val="Aptos Narrow"/>
        <family val="2"/>
        <scheme val="minor"/>
      </rPr>
      <t>-</t>
    </r>
    <r>
      <rPr>
        <b/>
        <sz val="9"/>
        <color rgb="FF00B050"/>
        <rFont val="Aptos Narrow"/>
        <family val="2"/>
        <scheme val="minor"/>
      </rPr>
      <t>58:cc:f0:90:4d:22:11:97</t>
    </r>
    <r>
      <rPr>
        <b/>
        <sz val="9"/>
        <color theme="1"/>
        <rFont val="Aptos Narrow"/>
        <family val="2"/>
        <scheme val="minor"/>
      </rPr>
      <t>-</t>
    </r>
    <r>
      <rPr>
        <b/>
        <sz val="9"/>
        <color rgb="FF00B0F0"/>
        <rFont val="Aptos Narrow"/>
        <family val="2"/>
        <scheme val="minor"/>
      </rPr>
      <t>58:cc:f0:98:4d:22:11:97</t>
    </r>
  </si>
  <si>
    <t xml:space="preserve">dellstrg_NodeA_P0, dellstrg_NodeB_P0, dellstrg_NodeA_P2, dellstrg_NodeB_P2, </t>
  </si>
  <si>
    <t>naa.68ccf09800b740b09669108a3157b9ab</t>
  </si>
  <si>
    <t>ESXi- SERVER-HOSTGROUP</t>
  </si>
  <si>
    <t>ACXDCENTWLD01_p2</t>
  </si>
  <si>
    <r>
      <rPr>
        <b/>
        <sz val="9"/>
        <color rgb="FF00B0F0"/>
        <rFont val="Aptos Narrow"/>
        <family val="2"/>
        <scheme val="minor"/>
      </rPr>
      <t>58:cc:f0:90:4d:21:11:97</t>
    </r>
    <r>
      <rPr>
        <b/>
        <sz val="9"/>
        <color theme="1"/>
        <rFont val="Aptos Narrow"/>
        <family val="2"/>
        <scheme val="minor"/>
      </rPr>
      <t>-</t>
    </r>
    <r>
      <rPr>
        <b/>
        <sz val="9"/>
        <color rgb="FF00B050"/>
        <rFont val="Aptos Narrow"/>
        <family val="2"/>
        <scheme val="minor"/>
      </rPr>
      <t>58:cc:f0:98:4d:21:11:97</t>
    </r>
    <r>
      <rPr>
        <b/>
        <sz val="9"/>
        <color theme="1"/>
        <rFont val="Aptos Narrow"/>
        <family val="2"/>
        <scheme val="minor"/>
      </rPr>
      <t>-</t>
    </r>
    <r>
      <rPr>
        <b/>
        <sz val="9"/>
        <color rgb="FFC00000"/>
        <rFont val="Aptos Narrow"/>
        <family val="2"/>
        <scheme val="minor"/>
      </rPr>
      <t>58:cc:f0:90:4d:23:11:97</t>
    </r>
    <r>
      <rPr>
        <b/>
        <sz val="9"/>
        <color theme="1"/>
        <rFont val="Aptos Narrow"/>
        <family val="2"/>
        <scheme val="minor"/>
      </rPr>
      <t>-</t>
    </r>
    <r>
      <rPr>
        <b/>
        <sz val="9"/>
        <color rgb="FF0070C0"/>
        <rFont val="Aptos Narrow"/>
        <family val="2"/>
        <scheme val="minor"/>
      </rPr>
      <t>58:cc:f0:98:4d:23:11:97</t>
    </r>
  </si>
  <si>
    <t xml:space="preserve">dellstrg_NodeA_P1, dellstrg_NodeB_P1, dellstrg_NodeA_P3, dellstrg_NodeB_P3, </t>
  </si>
  <si>
    <t>naa.68ccf0980084e284ad8ada83955020e9</t>
  </si>
  <si>
    <t>ACXDCENTWLD02</t>
  </si>
  <si>
    <t>ACXDCENTWLD02_p1</t>
  </si>
  <si>
    <t>naa.68ccf09800edfe3acd82edd61f3d9cb9</t>
  </si>
  <si>
    <t>ACXDCENTWLD02_p2</t>
  </si>
  <si>
    <t>naa.68ccf09800ce7dd42ecd5f4eac32eb2e</t>
  </si>
  <si>
    <t>ACXDCENTWLD03</t>
  </si>
  <si>
    <t>ACXDCENTWLD03_p1</t>
  </si>
  <si>
    <t>naa.68ccf0980011c4c8c81b0859c9899fa0</t>
  </si>
  <si>
    <t>ACXDCENTWLD03_p2</t>
  </si>
  <si>
    <t>naa.68ccf098005565fd3ca6982012448f7a</t>
  </si>
  <si>
    <t>ACXDCENTWLD04</t>
  </si>
  <si>
    <t>ACXDCENTWLD04_p1</t>
  </si>
  <si>
    <t>naa.68ccf09800b6aabbedd2b8f630957d1b</t>
  </si>
  <si>
    <t>ACXDCENTWLD04_p2</t>
  </si>
  <si>
    <t>naa.68ccf09800ae34337332bf55e8b9ac26</t>
  </si>
  <si>
    <t>ACXDCENTWLD05</t>
  </si>
  <si>
    <t>ACXDCENTWLD05_p1</t>
  </si>
  <si>
    <t>naa.68ccf0980016eaac7c58477919d0f036</t>
  </si>
  <si>
    <t>ACXDCENTWLD05_p2</t>
  </si>
  <si>
    <t>naa.68ccf098001f0e2942923803063fc7e8</t>
  </si>
  <si>
    <t>ACXDCENTWLD06</t>
  </si>
  <si>
    <t>ACXDCENTWLD06_p1</t>
  </si>
  <si>
    <t>naa.68ccf09800c2ffda113a55f59162809c</t>
  </si>
  <si>
    <t>ACXDCENTWLD06_p2</t>
  </si>
  <si>
    <t>naa.68ccf09800b5d9f12f858823afd943a9</t>
  </si>
  <si>
    <t>MDM-Log Drive-D</t>
  </si>
  <si>
    <t>ACXDCENTWLD07</t>
  </si>
  <si>
    <t>ACXDCENTWLD07_p1</t>
  </si>
  <si>
    <t>naa.68ccf0980008b94faf2db7688915884c</t>
  </si>
  <si>
    <t>MDM-LS-G</t>
  </si>
  <si>
    <t>ACXDCENTWLD07_p2</t>
  </si>
  <si>
    <t>naa.68ccf09800ff2c8045f219a318273bdb</t>
  </si>
  <si>
    <t>MDM-Event,Alarm-H</t>
  </si>
  <si>
    <t>ACXDCENTWLD08</t>
  </si>
  <si>
    <t>ACXDCENTWLD08_p1</t>
  </si>
  <si>
    <t>naa.68ccf098006add19dc2bb20c161820c3</t>
  </si>
  <si>
    <t>MDM-IP-I</t>
  </si>
  <si>
    <t>ACXDCENTWLD08_p2</t>
  </si>
  <si>
    <t>naa.68ccf098005cbc07130ddaf2509ff42f</t>
  </si>
  <si>
    <t>MDM-LS-J</t>
  </si>
  <si>
    <t>ACXDCENTWLD09</t>
  </si>
  <si>
    <t>ACXDCENTWLD09_p1</t>
  </si>
  <si>
    <t>naa.68ccf098008bd72151e6d9950aad2749</t>
  </si>
  <si>
    <t>MDM-Event,Alarm-K</t>
  </si>
  <si>
    <t>ACXDCENTWLD09_p2</t>
  </si>
  <si>
    <t>naa.68ccf0980035c139e0aeb3d89549f26e</t>
  </si>
  <si>
    <t>MDM-Temp Drive-E</t>
  </si>
  <si>
    <t>ACXDCENTWLD10</t>
  </si>
  <si>
    <t>ACXDCENTWLD10_p1</t>
  </si>
  <si>
    <t>naa.68ccf098005b3d7b6c03de0ea86a49ae</t>
  </si>
  <si>
    <t>MDM-IP-F</t>
  </si>
  <si>
    <t>ACXDCENTWLD10_p2</t>
  </si>
  <si>
    <t>naa.68ccf098008e579d80693ecbd2aee0ba</t>
  </si>
  <si>
    <t>nccmdmdb-quorum</t>
  </si>
  <si>
    <t>naa.68ccf09800781e92a9c18aeaf9d13915</t>
  </si>
  <si>
    <t>MIS-Log Drive-D</t>
  </si>
  <si>
    <t>naa.68ccf098005db0c1b6e435bc917dac6e</t>
  </si>
  <si>
    <t>MIS-Temp Drive-E</t>
  </si>
  <si>
    <t>naa.68ccf09800e1698bfee09c01617320fe</t>
  </si>
  <si>
    <t>MIS- STG-F</t>
  </si>
  <si>
    <t>naa.68ccf098002a901bf113ef6070c5177f</t>
  </si>
  <si>
    <t>MIS-Prepaid-G</t>
  </si>
  <si>
    <t>naa.68ccf098006a72bb0e9f616db63aab81</t>
  </si>
  <si>
    <t>MIS-WFM-H</t>
  </si>
  <si>
    <t>naa.68ccf098004315662414b06adc431690</t>
  </si>
  <si>
    <t>MIS-quorum-Q</t>
  </si>
  <si>
    <t>naa.68ccf098007def813a348dfe25d07cc3</t>
  </si>
  <si>
    <t>MIS-Main-I</t>
  </si>
  <si>
    <t>naa.68ccf09800a75e9e8caba524cdc5bb9d</t>
  </si>
  <si>
    <t>naa.68ccf098005c2fad53547dedced0c506</t>
  </si>
  <si>
    <t>naa.68ccf09800450681a9c6c4c4f5a6daf2</t>
  </si>
  <si>
    <t>naa.68ccf09800098fc087138af04ec613fa</t>
  </si>
  <si>
    <t>naa.68ccf09800a3a7ba9d2b81142727135a</t>
  </si>
  <si>
    <t>naa.68ccf09800d18dc2ec931e6b8172fd3d</t>
  </si>
  <si>
    <t>MIS-STG</t>
  </si>
  <si>
    <t>naa.68ccf098005a5da65c906dc692c32d0f</t>
  </si>
  <si>
    <t>MIS</t>
  </si>
  <si>
    <t>naa.68ccf098001e44c679a75a298eea13b6</t>
  </si>
  <si>
    <t>HES-DB-D</t>
  </si>
  <si>
    <t>naa.68ccf098003418cb77251778f2623e02</t>
  </si>
  <si>
    <t>HES-DB-E</t>
  </si>
  <si>
    <t>naa.68ccf09800a60f8578a2f6cb47d9106f</t>
  </si>
  <si>
    <t>HES-DB-F</t>
  </si>
  <si>
    <t>naa.68ccf098005d54eeb33765584b3c5d4c</t>
  </si>
  <si>
    <t>HES-DB-G</t>
  </si>
  <si>
    <t>naa.68ccf098006cb13719d8358e122d9463</t>
  </si>
  <si>
    <t>HES-QUORUM</t>
  </si>
  <si>
    <t>naa.68ccf098004863c9c83a56837f26938f</t>
  </si>
  <si>
    <t>PKG9-MDM-LOG-D</t>
  </si>
  <si>
    <t>naa.68ccf09800825b2982dba854419f746d</t>
  </si>
  <si>
    <t>PKG9-MDM-TEMP-E</t>
  </si>
  <si>
    <t>naa.68ccf09800bdfef8b5d18588b27574a6</t>
  </si>
  <si>
    <t>PKG9-MDM-STG-IP-F</t>
  </si>
  <si>
    <t>naa.68ccf098002af7ed5b96897320db5941</t>
  </si>
  <si>
    <t>PKG9-MDM-STG-LS-G</t>
  </si>
  <si>
    <t>naa.68ccf098001dd89d7e4c69077327ed16</t>
  </si>
  <si>
    <t>PKG9-MDM-STG-EVENTALARM-H</t>
  </si>
  <si>
    <t>naa.68ccf09800102022d393f3a7641330da</t>
  </si>
  <si>
    <t>PKG9-MDM-IP-I</t>
  </si>
  <si>
    <t>naa.68ccf09800eb1f4e11cc3bd2b418dc9c</t>
  </si>
  <si>
    <t>PKG9-MDM-LS-J</t>
  </si>
  <si>
    <t>naa.68ccf0980050a5d8ee1dd3c8ac026981</t>
  </si>
  <si>
    <t>PKG9-MDM-EVENTALARM-K</t>
  </si>
  <si>
    <t>naa.68ccf098006627e9449296240ab16172</t>
  </si>
  <si>
    <t>PKG9-MDM-MIS-STG-L</t>
  </si>
  <si>
    <t>naa.68ccf098007e51cc353a0c53c41a32fa</t>
  </si>
  <si>
    <t>PKG9-MDM-MIS-M</t>
  </si>
  <si>
    <t>naa.68ccf09800523c6168dd58cd14aaac90</t>
  </si>
  <si>
    <t>PKG9-MDM-Backup-2Y-N</t>
  </si>
  <si>
    <t>naa.68ccf09800f18b5789ff83f7c63c3aed</t>
  </si>
  <si>
    <t>PKG9-MDM-QUORUM-Q</t>
  </si>
  <si>
    <t>naa.68ccf09800be9b5f8a8fedfc2cf84117</t>
  </si>
  <si>
    <t>PKG9-MIS-LOG-D</t>
  </si>
  <si>
    <t>naa.68ccf09800cecefe4a3a3d2a8a52fa39</t>
  </si>
  <si>
    <t>PKG9-MIS-TEMP-E</t>
  </si>
  <si>
    <t>naa.68ccf09800e3069c93b2433182c347d7</t>
  </si>
  <si>
    <t>PKG9-MIS-STG-F</t>
  </si>
  <si>
    <t>naa.68ccf09800fbd6ad2d8ed4bb5b96f5c1</t>
  </si>
  <si>
    <t>PKG9-MIS-PREPAID-G</t>
  </si>
  <si>
    <t>naa.68ccf09800f84882524dea52a9d611ba</t>
  </si>
  <si>
    <t>PKG9-MIS-WFM-H</t>
  </si>
  <si>
    <t>naa.68ccf09800eba39ccca7bbfdd4166101</t>
  </si>
  <si>
    <t>PKG9-MIS-Main-I</t>
  </si>
  <si>
    <t>naa.68ccf0980006ec7ae448106b215de74c</t>
  </si>
  <si>
    <t>PKG9-MIS-BACKUP-2Y-O</t>
  </si>
  <si>
    <t>naa.68ccf09800fab91b50ff206941774ae6</t>
  </si>
  <si>
    <t>PKG9-MIS-QUORUM-Q</t>
  </si>
  <si>
    <t>naa.68ccf09800f17816f406d350014c7f11</t>
  </si>
  <si>
    <t>naa.68ccf098005ddf4c05e2a6850aa8a1c5</t>
  </si>
  <si>
    <t>naa.68ccf09800def35f8847a7c534be4245</t>
  </si>
  <si>
    <t>naa.68ccf0980003b42d90218308a1985152</t>
  </si>
  <si>
    <t>naa.68ccf098001847415aa31afa97860305</t>
  </si>
  <si>
    <t>naa.68ccf098002822527c0b51b3628b4804</t>
  </si>
  <si>
    <t>naa.68ccf09800a2c4dd3ae39e7049c38ecb</t>
  </si>
  <si>
    <t>naa.68ccf09800e7d2c6dd488e5a4897e103</t>
  </si>
  <si>
    <t>naa.68ccf098009e168847ad0ba3b047e821</t>
  </si>
  <si>
    <t>PKG9ANALYSTIC-Log-E</t>
  </si>
  <si>
    <t>naa.68ccf09800d4b3cd8d44e00e39269c86</t>
  </si>
  <si>
    <t>PKG9ANALYSTIC-Temp-F</t>
  </si>
  <si>
    <t>naa.68ccf098008fee3261d1e40e555794f1</t>
  </si>
  <si>
    <t>PKG9ANALYSTIC-MDM-G</t>
  </si>
  <si>
    <t>naa.68ccf0980032932b868f6c7772397bb5</t>
  </si>
  <si>
    <t>PKG9ANALYSTIC-MIS-H</t>
  </si>
  <si>
    <t>naa.68ccf098007d88bc812327006dc9d744</t>
  </si>
  <si>
    <t>PKG9-Kimbal-D</t>
  </si>
  <si>
    <t>naa.68ccf098004e9fe924a9686d79597486</t>
  </si>
  <si>
    <t>PKG9-Kimbal-E</t>
  </si>
  <si>
    <t>naa.68ccf09800be4e8e0cd877002ba2746c</t>
  </si>
  <si>
    <t>PKG9-Kimbal-F</t>
  </si>
  <si>
    <t>naa.68ccf098002a2b531ee51d09e6d85b72</t>
  </si>
  <si>
    <t>PKG9-Kimbal-G</t>
  </si>
  <si>
    <t>naa.68ccf09800e8c881d6430090c4bb58ab</t>
  </si>
  <si>
    <t>PKG9-Kimbal-Quorum-Q</t>
  </si>
  <si>
    <t>naa.68ccf09800738337fe6e49cef9baf1e6</t>
  </si>
  <si>
    <t>PKG8ANALYSTIC-Log-E</t>
  </si>
  <si>
    <t>naa.68ccf0980025607ac3f8448d735a5aea</t>
  </si>
  <si>
    <t>PKG8ANALYSTIC-Temp-F</t>
  </si>
  <si>
    <t>naa.68ccf098006a6c0773d20800359d7316</t>
  </si>
  <si>
    <t>PKG8ANALYSTIC-MDM-G</t>
  </si>
  <si>
    <t>naa.68ccf09800ec66a892bc6f31fbdc707e</t>
  </si>
  <si>
    <t>PKG8ANALYSTIC-MIS-H</t>
  </si>
  <si>
    <t>naa.68ccf09800ffca7a153146989c0d02a6</t>
  </si>
  <si>
    <t>PKG9-REP-MDM-LOG-D</t>
  </si>
  <si>
    <t>naa.68ccf098001d140b992e7e677acea3f7</t>
  </si>
  <si>
    <t>PKG9-REP-MDM-TEMP-E</t>
  </si>
  <si>
    <t>naa.68ccf0980016b25ade240b98dd5cc86d</t>
  </si>
  <si>
    <t>PKG9-REP-MDM-STG-IP-F</t>
  </si>
  <si>
    <t>naa.68ccf09800ea84205d4281dff3b02916</t>
  </si>
  <si>
    <t>PKG9-REP-MDM-STG-LS-G</t>
  </si>
  <si>
    <t>naa.68ccf0980048fa03d3d31547b3ba49ec</t>
  </si>
  <si>
    <t>PKG9-REP-MDM-STG-EVENTALARM-H</t>
  </si>
  <si>
    <t>naa.68ccf09800719c5bed34ae5e309be6da</t>
  </si>
  <si>
    <t>PKG9-REP-MDM-IP-I</t>
  </si>
  <si>
    <t>naa.68ccf098003f3511f5364d83b9067a47</t>
  </si>
  <si>
    <t>PKG9-REP-MDM-LS-J</t>
  </si>
  <si>
    <t>naa.68ccf09800c6da02e72c40f715dd7087</t>
  </si>
  <si>
    <t>PKG9-REP-MDM-EVENTALARM-K</t>
  </si>
  <si>
    <t>naa.68ccf09800088d20779fd6a49c86eb03</t>
  </si>
  <si>
    <t>PKG9-REP-MDM-MIS-STG-L</t>
  </si>
  <si>
    <t>naa.68ccf0980085b6e576fb25c4f0f74b01</t>
  </si>
  <si>
    <t>PKG9-REP-MDM-MIS-M</t>
  </si>
  <si>
    <t>naa.68ccf09800e23de1386915f8576b62cc</t>
  </si>
  <si>
    <t>PKG9-REP-MDM-Backup-2Y-N</t>
  </si>
  <si>
    <t>naa.68ccf09800f0bdb28cd51c509694d5cf</t>
  </si>
  <si>
    <t xml:space="preserve">PKG9-REP-MDM-QUORUM-Q  </t>
  </si>
  <si>
    <t>naa.68ccf0980005089742714f3476f8cb85</t>
  </si>
  <si>
    <t>NCCPKG9MDM-REPBKP-001</t>
  </si>
  <si>
    <t>naa.68ccf09800d14ade3083f08291a3de4d</t>
  </si>
  <si>
    <t>NCCPKG9MDM-REPBKP-002</t>
  </si>
  <si>
    <t>naa.68ccf09800612e41a27ddc0aebdeb248</t>
  </si>
  <si>
    <t>naa.68ccf09800fcd9779bd980432175bdf9</t>
  </si>
  <si>
    <t>naa.68ccf098007ae80900be2d29003a55a7</t>
  </si>
  <si>
    <t>naa.68ccf09800c72037658dbcf45047138f</t>
  </si>
  <si>
    <t>naa.68ccf09800ebdde3f749b6ef33a142f2</t>
  </si>
  <si>
    <t>kimbalpkg8-logshipping</t>
  </si>
  <si>
    <t>naa.68ccf09800cfe1d925daf6748cf840be</t>
  </si>
  <si>
    <t>kimbalpkg9-logshipping</t>
  </si>
  <si>
    <t>Total Utilized</t>
  </si>
  <si>
    <t>ACX-OLVM-HOSTGROUP</t>
  </si>
  <si>
    <t>ACXDCOLVM01</t>
  </si>
  <si>
    <t>10:00:70:b7:e4:27:11:00</t>
  </si>
  <si>
    <t>ACXDCOLVM01_p1</t>
  </si>
  <si>
    <t>naa.68ccf098000b2ded32f5cb8e7f37d6e0</t>
  </si>
  <si>
    <t>OLVM-VOL01</t>
  </si>
  <si>
    <t>ACX-OLVM- SERVER-HOSTGROUP</t>
  </si>
  <si>
    <t>10:00:70:b7:e4:27:11:01</t>
  </si>
  <si>
    <t>ACXDCOLVM01_p2</t>
  </si>
  <si>
    <t>naa.68ccf098000d9deac48757d75724d2ce</t>
  </si>
  <si>
    <t>OLVM-VOL02</t>
  </si>
  <si>
    <t>ACXDCOLVM02</t>
  </si>
  <si>
    <t>10:00:70:b7:e4:27:11:7e</t>
  </si>
  <si>
    <t>ACXDCOLVM02_p1</t>
  </si>
  <si>
    <t>naa.68ccf09800a4a43445f1144426616666</t>
  </si>
  <si>
    <t>OLVM-VOL03</t>
  </si>
  <si>
    <t>10:00:70:b7:e4:27:11:7f</t>
  </si>
  <si>
    <t>ACXDCOLVM02_p2</t>
  </si>
  <si>
    <t>naa.68ccf09800cad43aca75206acffb25a8</t>
  </si>
  <si>
    <t>OLVM-ISO</t>
  </si>
  <si>
    <t>ACXDCOLVM03</t>
  </si>
  <si>
    <t>10:00:70:b7:e4:27:42:ab</t>
  </si>
  <si>
    <t>ACXDCOLVM03_p1</t>
  </si>
  <si>
    <t>naa.68ccf0980064f5e4e52c004223d134bb</t>
  </si>
  <si>
    <t>SIEM-VOL1</t>
  </si>
  <si>
    <t>10:00:70:b7:e4:27:42:ac</t>
  </si>
  <si>
    <t>ACXDCOLVM03_p2</t>
  </si>
  <si>
    <t>naa.68ccf09800d8fa7d77f4ba61f41db560</t>
  </si>
  <si>
    <t>SIEM-VOL2</t>
  </si>
  <si>
    <t>ACXDCOLVM04</t>
  </si>
  <si>
    <t>10:00:70:b7:e4:27:39:fc</t>
  </si>
  <si>
    <t>naa.68ccf098005b2313fa62098419afd51c</t>
  </si>
  <si>
    <t>SIEM-VOL3</t>
  </si>
  <si>
    <t>10:00:70:b7:e4:27:39:fd</t>
  </si>
  <si>
    <t>naa.68ccf098002c83ea1c234b6d63f0e408</t>
  </si>
  <si>
    <t>SIEM-VOL4</t>
  </si>
  <si>
    <t>ACXDCOLVM05</t>
  </si>
  <si>
    <t>10:00:70:b7:e4:27:10:42</t>
  </si>
  <si>
    <t>naa.68ccf0980056288749c31b9acd9a7c25</t>
  </si>
  <si>
    <t>test</t>
  </si>
  <si>
    <t>10:00:70:b7:e4:27:10:43</t>
  </si>
  <si>
    <t>naa.68ccf09800fee73b54129b75ca7fbc18</t>
  </si>
  <si>
    <t>SIEM-007</t>
  </si>
  <si>
    <t>naa.68ccf09800339fe172105434bb2c5968</t>
  </si>
  <si>
    <t>Panorama-VOL</t>
  </si>
  <si>
    <t>naa.68ccf09800f596dc1c9ae013f16331f0</t>
  </si>
  <si>
    <t>macomsftp</t>
  </si>
  <si>
    <t>naa.68ccf0980034d5d0c51b3dc521233c9f</t>
  </si>
  <si>
    <t>datadomain</t>
  </si>
  <si>
    <t>naa.68ccf09800511cca18a62e530edce190</t>
  </si>
  <si>
    <t>naa.68ccf09800f1cb78fb48bcec18280818</t>
  </si>
  <si>
    <t>sapapp</t>
  </si>
  <si>
    <t>naa.68ccf098000d9a4e8b701a66be799c61</t>
  </si>
  <si>
    <t>provumidvm1</t>
  </si>
  <si>
    <t>naa.68ccf0980099f26fdf3f801f91b38d9b</t>
  </si>
  <si>
    <t>provwmangvm1</t>
  </si>
  <si>
    <t>naa.68ccf09800c0999859cc2f89216801b6</t>
  </si>
  <si>
    <t>provoracledbvm1</t>
  </si>
  <si>
    <t>naa.68ccf09800a6b420f924cb5c3dfcc256</t>
  </si>
  <si>
    <t>SWDC-DB-INFLUX-01</t>
  </si>
  <si>
    <t>naa.68ccf098001b6f909c1fa4241f905503</t>
  </si>
  <si>
    <t>SWDC-INFRA-STG-01</t>
  </si>
  <si>
    <t>naa.68ccf09800cf8de29d291ef955230c52</t>
  </si>
  <si>
    <t>SWDC-INFRA-STG-02</t>
  </si>
  <si>
    <t>naa.68ccf098002efa9e7e8e9899d2933f91</t>
  </si>
  <si>
    <t>SWDC-INFRA-STG-03</t>
  </si>
  <si>
    <t>naa.68ccf098003e813c5c0375eeeadb425c</t>
  </si>
  <si>
    <t>Mundra-Integration-Srv01</t>
  </si>
  <si>
    <t>naa.68ccf09800896bd9135f10cc33af79b8</t>
  </si>
  <si>
    <t>Mundra-Integration-Srv02</t>
  </si>
  <si>
    <t>naa.68ccf0980028d1a5aeb16e5964de24f1</t>
  </si>
  <si>
    <t>Mundra-Msg-Broker01</t>
  </si>
  <si>
    <t>naa.68ccf0980046ef6561c740e7ddcf059a</t>
  </si>
  <si>
    <t>Mundra-Msg-Broker02</t>
  </si>
  <si>
    <t>naa.68ccf098001579c704ec8f89f94d511c</t>
  </si>
  <si>
    <t>Mundra-Prod-DB01</t>
  </si>
  <si>
    <t>naa.68ccf09800da7b9ac83e770dc2666a24</t>
  </si>
  <si>
    <t>Mundra-Prod-DB02</t>
  </si>
  <si>
    <t>naa.68ccf098005c7c508725b85ae85ddc20</t>
  </si>
  <si>
    <t>Mundra-WebServer01</t>
  </si>
  <si>
    <t>naa.68ccf098009f3c559e27795d991a73ad</t>
  </si>
  <si>
    <t>Mundra-WebServer02</t>
  </si>
  <si>
    <t>naa.68ccf098002a1fefbe9293b99c942cc8</t>
  </si>
  <si>
    <t>Mundra_Temp</t>
  </si>
  <si>
    <t>naa.68ccf09800be256ef2e20e5b09fb9297</t>
  </si>
  <si>
    <t>pam-vol-001</t>
  </si>
  <si>
    <t>naa.68ccf09800001cf8eeffcf442688efc5</t>
  </si>
  <si>
    <t>pam-vol-002</t>
  </si>
  <si>
    <t>naa.68ccf09800eee9dad441bc7e93af5c7f</t>
  </si>
  <si>
    <t>pam-vol-003</t>
  </si>
  <si>
    <t>naa.68ccf09800a4a1ca0500960205d7f02c</t>
  </si>
  <si>
    <t>veeam-bkp</t>
  </si>
  <si>
    <t>naa.68ccf09800a17bf482864cd4fdb25556</t>
  </si>
  <si>
    <t>provoracledbvm1_UAT</t>
  </si>
  <si>
    <t>naa.68ccf0980050a4cee10108edca0e8e32</t>
  </si>
  <si>
    <t>provumidvm1_UAT</t>
  </si>
  <si>
    <t>naa.68ccf0980097b1fc1650d427d1a5892e</t>
  </si>
  <si>
    <t>provwmangvm1_UAT</t>
  </si>
  <si>
    <t>naa.68ccf09800c10ea6487e2e9bf2f40c50</t>
  </si>
  <si>
    <t>veeam-bkp-001</t>
  </si>
  <si>
    <t>naa.68ccf09800266eaf3a6db659e17eaccd</t>
  </si>
  <si>
    <t>veeam-bkp-002</t>
  </si>
  <si>
    <t>naa.68ccf0980064a6cc69f3bad39701d80a</t>
  </si>
  <si>
    <t>veeam-bkp-003</t>
  </si>
  <si>
    <t>naa.68ccf09800fd3f3ce849662e24c2f851</t>
  </si>
  <si>
    <t>veeam-bkp-004</t>
  </si>
  <si>
    <t>naa.68ccf098003c6c9bd55fac43274ccc48</t>
  </si>
  <si>
    <t>veeam-bkp-H-Drive-001</t>
  </si>
  <si>
    <t>naa.68ccf09800ece4b1dd174502b7aa5bad</t>
  </si>
  <si>
    <t>veeam-bkp-H-Drive-002</t>
  </si>
  <si>
    <t>naa.68ccf09800f77ae0fcb41b48597694a6</t>
  </si>
  <si>
    <t>veeam-bkp-H-Drive-003</t>
  </si>
  <si>
    <t>naa.68ccf0980092ee50236d52d4d7863e73</t>
  </si>
  <si>
    <t>veeam-bkp-G-Drive-005</t>
  </si>
  <si>
    <t>naa.68ccf098000d68827519c97b89562c19</t>
  </si>
  <si>
    <t>veeam-bkp-G-Drive-006</t>
  </si>
  <si>
    <t>naa.68ccf0980063bacef1a12e7c5bdb44df</t>
  </si>
  <si>
    <t>NIA-VOL-01</t>
  </si>
  <si>
    <t>naa.68ccf09800f127a7b4bc41d2e381cc44</t>
  </si>
  <si>
    <t>binmile_WFM_DS-001</t>
  </si>
  <si>
    <t>naa.68ccf09800c1605722473dc987d95643</t>
  </si>
  <si>
    <t>bndevDBsrvr</t>
  </si>
  <si>
    <t>naa.68ccf09800b327f8596220e88cd62790</t>
  </si>
  <si>
    <t>binmile_WFM_DS-002</t>
  </si>
  <si>
    <t>naa.68ccf09800cd3cb8c2a4064747e3ad5e</t>
  </si>
  <si>
    <t>binmile_WFM_DS-003</t>
  </si>
  <si>
    <t>naa.68ccf098005e62ff13848fab7e6ea153</t>
  </si>
  <si>
    <t>bnqaDBsrvr</t>
  </si>
  <si>
    <t>naa.68ccf0980075c071b5f1d8eed742b565</t>
  </si>
  <si>
    <t>bnuatDBsrvr1</t>
  </si>
  <si>
    <t>naa.68ccf098009ab8c1b0b493bd7aa68171</t>
  </si>
  <si>
    <t>naa.68ccf09800e503e94c0768d5e3018971</t>
  </si>
  <si>
    <t>naa.68ccf0980022d6ec9dfdf7f632e70fbd</t>
  </si>
  <si>
    <t>DLAKE-POC-HOSTGROUP</t>
  </si>
  <si>
    <t>ACX-DLAKE-COMP-01</t>
  </si>
  <si>
    <t>10:00:70:b7:e4:27:65:b1</t>
  </si>
  <si>
    <t>naa.68ccf0980002e4d2c03f9c653a36ad81</t>
  </si>
  <si>
    <t>Datalake-vol-001</t>
  </si>
  <si>
    <t>Data Lake POC servers group</t>
  </si>
  <si>
    <t>10:00:70:b7:e4:27:65:b2</t>
  </si>
  <si>
    <t>naa.68ccf09800f7f34b14c28191a3c7055a</t>
  </si>
  <si>
    <t>Datalake-vol-002</t>
  </si>
  <si>
    <t>ACX-DLAKE-COMP-02</t>
  </si>
  <si>
    <t>10:00:70:b7:e4:27:42:dc</t>
  </si>
  <si>
    <t>naa.68ccf0980051f731ede259532e1a84d0</t>
  </si>
  <si>
    <t>Datalake-vol-003</t>
  </si>
  <si>
    <t>10:00:70:b7:e4:27:42:db</t>
  </si>
  <si>
    <t>naa.68ccf098009d5042ea7e1aaca03e8d9d</t>
  </si>
  <si>
    <t>Datalake-vol-004</t>
  </si>
  <si>
    <t>ACX-DLAKE-COMP-03</t>
  </si>
  <si>
    <t>10:00:70:b7:e4:27:11:75</t>
  </si>
  <si>
    <t>naa.68ccf09800ab0ef80e10c80682e9b6c5</t>
  </si>
  <si>
    <t>Datalake-vol-005</t>
  </si>
  <si>
    <t>10:00:70:b7:e4:27:11:76</t>
  </si>
  <si>
    <t>ACX-DLAKE-COMP-04</t>
  </si>
  <si>
    <t>10:00:70:b7:e4:27:65:c9</t>
  </si>
  <si>
    <t>10:00:70:b7:e4:27:65:ca</t>
  </si>
  <si>
    <t>ACX-DLAKE-COMP-05</t>
  </si>
  <si>
    <t>10:00:70:b7:e4:27:65:d0</t>
  </si>
  <si>
    <t>10:00:70:b7:e4:27:65:cf</t>
  </si>
  <si>
    <t>ESXi-VOL-001  (EXSi Data-Store)</t>
  </si>
  <si>
    <t>ESXi-VOL-002  (EXSi Data-Store)</t>
  </si>
  <si>
    <t>ESXi-VOL-003  (EXSi Data-Store)</t>
  </si>
  <si>
    <t>ESXi-VOL-004  (EXSi Data-Store)</t>
  </si>
  <si>
    <t>E-VOL-013   (EXSi Data-Store)</t>
  </si>
  <si>
    <t>E-VOL-012   (EXSi Data-Store)</t>
  </si>
  <si>
    <t>E-VOL-011   (EXSi Data-Store)</t>
  </si>
  <si>
    <t>E-VOL-010   (EXSi Data-Store)</t>
  </si>
  <si>
    <t>E-VOL-009   (EXSi Data-Store)</t>
  </si>
  <si>
    <t>E-VOL-008   (EXSi Data-Store)</t>
  </si>
  <si>
    <t>E-VOL-007   (EXSi Data-Store)</t>
  </si>
  <si>
    <t>E-VOL-006   (EXSi Data-Store)</t>
  </si>
  <si>
    <t>E-VOL-005  (EXSi Data-Store)</t>
  </si>
  <si>
    <t>E-VOL-004  (EXSi Data-Store)</t>
  </si>
  <si>
    <t>E-VOL-003  (EXSi Data-Store)</t>
  </si>
  <si>
    <t>E-VOL-002  (EXSi Data-Store)</t>
  </si>
  <si>
    <t>E-VOL-001  (EXSi Data-Store)</t>
  </si>
  <si>
    <t>ESXi-VOL02  (EXSi Data-Store)</t>
  </si>
  <si>
    <t>ESXi-VOL03  (EXSi Data-Store)</t>
  </si>
  <si>
    <t>ESXi-VOL04  (EXSi Data-Store)</t>
  </si>
  <si>
    <t>ESXi-VOL05  (EXSi Data-Store)</t>
  </si>
  <si>
    <t>ESXi-VOL06  (EXSi Data-Store)</t>
  </si>
  <si>
    <t>ESXi-VOL07 (EXSi Data-Store)</t>
  </si>
  <si>
    <t>ESXi-VOL01  (EXSi Data-Store)</t>
  </si>
  <si>
    <t>ESXi-VIL08   (EXSi Data-Store)</t>
  </si>
  <si>
    <t>ESXi-VOL09 (EXSi Data-Store)</t>
  </si>
  <si>
    <t>ESXi-VOL10 (EXSi Data-Store)</t>
  </si>
  <si>
    <t>ESXi-VOL11 (EXSi Data-Store)</t>
  </si>
  <si>
    <t>Note* All the ldev which are not recognized as pkg8 or pkg9 we are assuming that there are used in pkg8</t>
  </si>
  <si>
    <t>ESXi-VOL-005 (EXSi Data-Store)</t>
  </si>
  <si>
    <t>ESXi-VOL-006 (EXSi Data-Store)</t>
  </si>
  <si>
    <t>ESXi-VOL-007 (EXSi Data-Store)</t>
  </si>
  <si>
    <t>naa.68ccf098003a7b37c1f5ef449048dab9</t>
  </si>
  <si>
    <t>naa.68ccf09800ceb31d501046a77d893832</t>
  </si>
  <si>
    <t>naa.68ccf098002f34a723b0679d4ee5e9f9</t>
  </si>
  <si>
    <t>tvuprodsrvr1</t>
  </si>
  <si>
    <t>naa.68ccf098005bd41f46931b9dc1c75eb8</t>
  </si>
  <si>
    <t>ACXDCOLVM06</t>
  </si>
  <si>
    <t>10:00:70:b7:e4:3a:c8:58</t>
  </si>
  <si>
    <t>10:00:70:b7:e4:3a:c8:57</t>
  </si>
  <si>
    <t>ACXDCOLVM07</t>
  </si>
  <si>
    <t>10:00:70:b7:e4:3c:05:d0</t>
  </si>
  <si>
    <t>10:00:70:b7:e4:3c:05:cf</t>
  </si>
  <si>
    <t>ACXDCOLVM08</t>
  </si>
  <si>
    <t>10:00:70:b7:e4:3c:05:ab</t>
  </si>
  <si>
    <t>10:00:70:b7:e4:3c:05:ac</t>
  </si>
  <si>
    <t>ACXDCOLVM09</t>
  </si>
  <si>
    <t>10:00:70:b7:e4:27:42:f1</t>
  </si>
  <si>
    <t>10:00:70:b7:e4:27:42:f0</t>
  </si>
  <si>
    <t>NIA-PROD-DS</t>
  </si>
  <si>
    <t>naa.68ccf0980053e67160fc2a9c1c4a128f</t>
  </si>
  <si>
    <t>kimble-hesDB-Ddrive-Additional-001</t>
  </si>
  <si>
    <t>kimble-hesDB-Ddrive-Additional-002</t>
  </si>
  <si>
    <t>naa.68ccf0980025a886d77d83483854fe47</t>
  </si>
  <si>
    <t>naa.68ccf0980012ebfef9c2a34fb7513319</t>
  </si>
  <si>
    <t>sapdatabase</t>
  </si>
  <si>
    <t>ncc-pam-adc-srv-quorum-001</t>
  </si>
  <si>
    <t>ncc-pam-adc-srv-quorum-002</t>
  </si>
  <si>
    <t>ncc-pam-adc-srv-sectonaDB</t>
  </si>
  <si>
    <t>10:00:70:b7:e4:27:42:9c</t>
  </si>
  <si>
    <t>10:00:70:b7:e4:27:42:9d</t>
  </si>
  <si>
    <t>10:00:70:b7:e4:27:3a:06</t>
  </si>
  <si>
    <t>10:00:70:b7:e4:27:3a:07</t>
  </si>
  <si>
    <t>10:00:70:b7:e4:27:42:de</t>
  </si>
  <si>
    <t>10:00:70:b7:e4:27:42:df</t>
  </si>
  <si>
    <t>10:00:70:b7:e4:27:42:be</t>
  </si>
  <si>
    <t>10:00:70:b7:e4:27:42:bd</t>
  </si>
  <si>
    <t>10:00:70:b7:e4:27:42:8a</t>
  </si>
  <si>
    <t>10:00:70:b7:e4:27:42:8b</t>
  </si>
  <si>
    <t>10:00:70:b7:e4:27:42:c9</t>
  </si>
  <si>
    <t>10:00:70:b7:e4:27:42:ca</t>
  </si>
  <si>
    <t>10:00:70:b7:e4:27:42:72</t>
  </si>
  <si>
    <t>10:00:70:b7:e4:27:42:73</t>
  </si>
  <si>
    <t>10:00:70:b7:e4:27:39:df</t>
  </si>
  <si>
    <t>10:00:70:b7:e4:27:39:de</t>
  </si>
  <si>
    <t>10:00:70:b7:e4:27:39:f3</t>
  </si>
  <si>
    <t>10:00:70:b7:e4:27:39:f4</t>
  </si>
  <si>
    <t>10:00:70:b7:e4:27:11:03</t>
  </si>
  <si>
    <t>10:00:70:b7:e4:27:11:04</t>
  </si>
  <si>
    <t>Adani_Group_DS</t>
  </si>
  <si>
    <t>naa.68ccf0980044709c2a371ff6eb83e36f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</si>
</sst>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00B0F0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theme="5" tint="-0.249977111117893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medium">
        <color indexed="64"/>
      </left>
      <right style="medium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3" fillId="0" borderId="0"/>
  </cellStyleXfs>
  <cellXfs count="54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1" xfId="1" applyFont="1" applyBorder="1"/>
    <xf numFmtId="0" fontId="3" fillId="0" borderId="0" xfId="1" applyFont="1" applyAlignment="1">
      <alignment horizontal="center"/>
    </xf>
    <xf numFmtId="0" fontId="3" fillId="7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1" fillId="2" borderId="9" xfId="1" applyFont="1" applyFill="1" applyBorder="1" applyAlignment="1">
      <alignment horizontal="center"/>
    </xf>
    <xf numFmtId="4" fontId="3" fillId="0" borderId="0" xfId="1" applyNumberFormat="1" applyFont="1" applyAlignment="1">
      <alignment horizontal="center"/>
    </xf>
    <xf numFmtId="0" fontId="3" fillId="7" borderId="0" xfId="1" applyFont="1" applyFill="1" applyAlignment="1">
      <alignment horizontal="center"/>
    </xf>
    <xf numFmtId="0" fontId="14" fillId="7" borderId="0" xfId="1" applyFont="1" applyFill="1" applyAlignment="1">
      <alignment horizontal="center"/>
    </xf>
    <xf numFmtId="0" fontId="15" fillId="7" borderId="0" xfId="1" applyFont="1" applyFill="1" applyAlignment="1">
      <alignment horizontal="center"/>
    </xf>
    <xf numFmtId="0" fontId="4" fillId="7" borderId="0" xfId="1" applyFont="1" applyFill="1" applyAlignment="1">
      <alignment horizontal="center"/>
    </xf>
    <xf numFmtId="0" fontId="12" fillId="4" borderId="1" xfId="1" applyFont="1" applyFill="1" applyBorder="1" applyAlignment="1">
      <alignment horizontal="left"/>
    </xf>
    <xf numFmtId="0" fontId="12" fillId="4" borderId="1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4" fillId="0" borderId="1" xfId="1" applyFont="1" applyBorder="1"/>
    <xf numFmtId="0" fontId="3" fillId="0" borderId="1" xfId="1" applyFont="1" applyBorder="1" applyAlignment="1">
      <alignment horizontal="center"/>
    </xf>
    <xf numFmtId="0" fontId="4" fillId="3" borderId="1" xfId="1" applyFont="1" applyFill="1" applyBorder="1"/>
    <xf numFmtId="0" fontId="3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0" fontId="4" fillId="3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2" fillId="0" borderId="1" xfId="1" applyBorder="1"/>
    <xf numFmtId="0" fontId="3" fillId="0" borderId="3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2" xfId="1" applyFont="1" applyBorder="1"/>
    <xf numFmtId="0" fontId="1" fillId="2" borderId="11" xfId="1" applyFont="1" applyFill="1" applyBorder="1" applyAlignment="1">
      <alignment horizontal="center"/>
    </xf>
    <xf numFmtId="0" fontId="1" fillId="2" borderId="12" xfId="1" applyFont="1" applyFill="1" applyBorder="1" applyAlignment="1">
      <alignment horizontal="center"/>
    </xf>
    <xf numFmtId="0" fontId="1" fillId="2" borderId="8" xfId="1" applyFont="1" applyFill="1" applyBorder="1" applyAlignment="1">
      <alignment horizontal="center"/>
    </xf>
    <xf numFmtId="0" fontId="3" fillId="0" borderId="13" xfId="1" applyFont="1" applyBorder="1"/>
    <xf numFmtId="0" fontId="1" fillId="2" borderId="7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2" borderId="14" xfId="1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/>
    </xf>
    <xf numFmtId="0" fontId="1" fillId="2" borderId="6" xfId="1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16" xfId="1" applyFont="1" applyBorder="1"/>
    <xf numFmtId="0" fontId="16" fillId="0" borderId="0" xfId="1" applyFont="1"/>
    <xf numFmtId="0" fontId="4" fillId="5" borderId="3" xfId="1" applyFont="1" applyFill="1" applyBorder="1" applyAlignment="1">
      <alignment horizontal="center" vertical="center"/>
    </xf>
    <xf numFmtId="0" fontId="4" fillId="5" borderId="10" xfId="1" applyFont="1" applyFill="1" applyBorder="1" applyAlignment="1">
      <alignment horizontal="center" vertical="center"/>
    </xf>
    <xf numFmtId="0" fontId="2" fillId="6" borderId="3" xfId="1" applyFill="1" applyBorder="1" applyAlignment="1">
      <alignment horizontal="center" vertical="center"/>
    </xf>
    <xf numFmtId="0" fontId="2" fillId="6" borderId="10" xfId="1" applyFill="1" applyBorder="1" applyAlignment="1">
      <alignment horizontal="center" vertical="center"/>
    </xf>
    <xf numFmtId="0" fontId="2" fillId="6" borderId="1" xfId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2" fillId="6" borderId="2" xfId="1" applyFill="1" applyBorder="1" applyAlignment="1">
      <alignment horizontal="center" vertical="center"/>
    </xf>
  </cellXfs>
  <cellStyles count="3">
    <cellStyle name="Normal" xfId="0" builtinId="0"/>
    <cellStyle name="Normal 2" xfId="1" xr:uid="{0A4A9AED-48CC-4EEE-A26F-79C9B9E01EDB}"/>
    <cellStyle name="Normal 3" xfId="2" xr:uid="{F67570BD-CE94-4125-AE34-CAF3A1C033D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0.13.10.83/" TargetMode="External"/><Relationship Id="rId3" Type="http://schemas.openxmlformats.org/officeDocument/2006/relationships/hyperlink" Target="https://10.13.10.83/" TargetMode="External"/><Relationship Id="rId7" Type="http://schemas.openxmlformats.org/officeDocument/2006/relationships/hyperlink" Target="https://10.13.10.83/" TargetMode="External"/><Relationship Id="rId2" Type="http://schemas.openxmlformats.org/officeDocument/2006/relationships/hyperlink" Target="https://10.13.10.83/" TargetMode="External"/><Relationship Id="rId1" Type="http://schemas.openxmlformats.org/officeDocument/2006/relationships/hyperlink" Target="https://10.13.10.83/" TargetMode="External"/><Relationship Id="rId6" Type="http://schemas.openxmlformats.org/officeDocument/2006/relationships/hyperlink" Target="https://10.13.10.83/" TargetMode="External"/><Relationship Id="rId5" Type="http://schemas.openxmlformats.org/officeDocument/2006/relationships/hyperlink" Target="https://10.13.10.83/" TargetMode="External"/><Relationship Id="rId4" Type="http://schemas.openxmlformats.org/officeDocument/2006/relationships/hyperlink" Target="https://10.13.10.83/" TargetMode="External"/><Relationship Id="rId9" Type="http://schemas.openxmlformats.org/officeDocument/2006/relationships/hyperlink" Target="https://10.13.10.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0442-2076-4CE2-8ED9-9337BE23E70B}">
  <dimension ref="A1:N298"/>
  <sheetViews>
    <sheetView showGridLines="0" tabSelected="1" topLeftCell="F1" zoomScale="67" zoomScaleNormal="110" workbookViewId="0">
      <selection activeCell="O185" sqref="O185"/>
    </sheetView>
  </sheetViews>
  <sheetFormatPr defaultColWidth="8.7265625" defaultRowHeight="12" x14ac:dyDescent="0.3"/>
  <cols>
    <col min="1" max="1" width="8.7265625" style="1"/>
    <col min="2" max="2" width="25.54296875" style="1" customWidth="1"/>
    <col min="3" max="3" width="18.1796875" style="1" customWidth="1"/>
    <col min="4" max="4" width="25" style="1" customWidth="1"/>
    <col min="5" max="6" width="20.81640625" style="1" customWidth="1"/>
    <col min="7" max="7" width="67" style="1" bestFit="1" customWidth="1"/>
    <col min="8" max="8" width="55.26953125" style="1" bestFit="1" customWidth="1"/>
    <col min="9" max="9" width="38.81640625" style="1" customWidth="1"/>
    <col min="10" max="10" width="26.453125" style="1" customWidth="1"/>
    <col min="11" max="11" width="31.54296875" style="1" customWidth="1"/>
    <col min="12" max="12" width="13.453125" style="5" customWidth="1"/>
    <col min="13" max="13" width="17.7265625" style="5" customWidth="1"/>
    <col min="14" max="14" width="15.453125" style="1" customWidth="1"/>
    <col min="15" max="16384" width="8.7265625" style="1"/>
  </cols>
  <sheetData>
    <row r="1" spans="1:14" ht="18.5" x14ac:dyDescent="0.45">
      <c r="A1" s="45" t="s">
        <v>411</v>
      </c>
      <c r="B1" s="45"/>
      <c r="C1" s="45"/>
      <c r="D1" s="45"/>
      <c r="E1" s="45"/>
      <c r="F1" s="45"/>
    </row>
    <row r="4" spans="1:14" ht="13" x14ac:dyDescent="0.3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4</v>
      </c>
      <c r="I4" s="14" t="s">
        <v>7</v>
      </c>
      <c r="J4" s="14" t="s">
        <v>8</v>
      </c>
      <c r="K4" s="14" t="s">
        <v>9</v>
      </c>
      <c r="L4" s="15" t="s">
        <v>10</v>
      </c>
      <c r="M4" s="16" t="s">
        <v>11</v>
      </c>
      <c r="N4" s="16" t="s">
        <v>12</v>
      </c>
    </row>
    <row r="5" spans="1:14" x14ac:dyDescent="0.3">
      <c r="A5" s="50">
        <v>1</v>
      </c>
      <c r="B5" s="51" t="s">
        <v>13</v>
      </c>
      <c r="C5" s="4" t="s">
        <v>14</v>
      </c>
      <c r="D5" s="4" t="s">
        <v>461</v>
      </c>
      <c r="E5" s="4" t="s">
        <v>15</v>
      </c>
      <c r="F5" s="17" t="s">
        <v>16</v>
      </c>
      <c r="G5" s="18" t="s">
        <v>17</v>
      </c>
      <c r="H5" s="4" t="s">
        <v>18</v>
      </c>
      <c r="I5" s="4" t="s">
        <v>19</v>
      </c>
      <c r="J5" s="4" t="s">
        <v>406</v>
      </c>
      <c r="K5" s="4" t="s">
        <v>20</v>
      </c>
      <c r="L5" s="19">
        <v>1</v>
      </c>
      <c r="M5" s="19">
        <v>4</v>
      </c>
      <c r="N5" s="19"/>
    </row>
    <row r="6" spans="1:14" x14ac:dyDescent="0.3">
      <c r="A6" s="50"/>
      <c r="B6" s="51"/>
      <c r="C6" s="4" t="s">
        <v>14</v>
      </c>
      <c r="D6" s="4" t="s">
        <v>460</v>
      </c>
      <c r="E6" s="4" t="s">
        <v>21</v>
      </c>
      <c r="F6" s="17" t="s">
        <v>16</v>
      </c>
      <c r="G6" s="18" t="s">
        <v>22</v>
      </c>
      <c r="H6" s="4" t="s">
        <v>23</v>
      </c>
      <c r="I6" s="4" t="s">
        <v>24</v>
      </c>
      <c r="J6" s="4" t="s">
        <v>400</v>
      </c>
      <c r="K6" s="4" t="s">
        <v>20</v>
      </c>
      <c r="L6" s="19">
        <v>2</v>
      </c>
      <c r="M6" s="19">
        <v>4</v>
      </c>
      <c r="N6" s="19"/>
    </row>
    <row r="7" spans="1:14" x14ac:dyDescent="0.3">
      <c r="A7" s="50"/>
      <c r="B7" s="51"/>
      <c r="C7" s="4" t="s">
        <v>25</v>
      </c>
      <c r="D7" s="4" t="s">
        <v>444</v>
      </c>
      <c r="E7" s="4" t="s">
        <v>26</v>
      </c>
      <c r="F7" s="17" t="s">
        <v>16</v>
      </c>
      <c r="G7" s="18" t="s">
        <v>17</v>
      </c>
      <c r="H7" s="4" t="s">
        <v>18</v>
      </c>
      <c r="I7" s="4" t="s">
        <v>27</v>
      </c>
      <c r="J7" s="4" t="s">
        <v>401</v>
      </c>
      <c r="K7" s="4" t="s">
        <v>20</v>
      </c>
      <c r="L7" s="19">
        <v>3</v>
      </c>
      <c r="M7" s="19">
        <v>4</v>
      </c>
      <c r="N7" s="19"/>
    </row>
    <row r="8" spans="1:14" x14ac:dyDescent="0.3">
      <c r="A8" s="50"/>
      <c r="B8" s="51"/>
      <c r="C8" s="4" t="s">
        <v>25</v>
      </c>
      <c r="D8" s="4" t="s">
        <v>445</v>
      </c>
      <c r="E8" s="4" t="s">
        <v>28</v>
      </c>
      <c r="F8" s="17" t="s">
        <v>16</v>
      </c>
      <c r="G8" s="18" t="s">
        <v>22</v>
      </c>
      <c r="H8" s="4" t="s">
        <v>23</v>
      </c>
      <c r="I8" s="4" t="s">
        <v>29</v>
      </c>
      <c r="J8" s="4" t="s">
        <v>402</v>
      </c>
      <c r="K8" s="4" t="s">
        <v>20</v>
      </c>
      <c r="L8" s="19">
        <v>4</v>
      </c>
      <c r="M8" s="19">
        <v>4</v>
      </c>
      <c r="N8" s="19"/>
    </row>
    <row r="9" spans="1:14" ht="12.5" customHeight="1" x14ac:dyDescent="0.3">
      <c r="A9" s="50"/>
      <c r="B9" s="51"/>
      <c r="C9" s="4" t="s">
        <v>30</v>
      </c>
      <c r="D9" s="4" t="s">
        <v>442</v>
      </c>
      <c r="E9" s="4" t="s">
        <v>31</v>
      </c>
      <c r="F9" s="17" t="s">
        <v>16</v>
      </c>
      <c r="G9" s="18" t="s">
        <v>17</v>
      </c>
      <c r="H9" s="4" t="s">
        <v>18</v>
      </c>
      <c r="I9" s="4" t="s">
        <v>32</v>
      </c>
      <c r="J9" s="4" t="s">
        <v>403</v>
      </c>
      <c r="K9" s="4" t="s">
        <v>20</v>
      </c>
      <c r="L9" s="19">
        <v>5</v>
      </c>
      <c r="M9" s="19">
        <v>4</v>
      </c>
      <c r="N9" s="19"/>
    </row>
    <row r="10" spans="1:14" ht="15" customHeight="1" x14ac:dyDescent="0.3">
      <c r="A10" s="50"/>
      <c r="B10" s="51"/>
      <c r="C10" s="4" t="s">
        <v>30</v>
      </c>
      <c r="D10" s="4" t="s">
        <v>443</v>
      </c>
      <c r="E10" s="4" t="s">
        <v>33</v>
      </c>
      <c r="F10" s="17" t="s">
        <v>16</v>
      </c>
      <c r="G10" s="18" t="s">
        <v>22</v>
      </c>
      <c r="H10" s="4" t="s">
        <v>23</v>
      </c>
      <c r="I10" s="4" t="s">
        <v>34</v>
      </c>
      <c r="J10" s="4" t="s">
        <v>404</v>
      </c>
      <c r="K10" s="4" t="s">
        <v>20</v>
      </c>
      <c r="L10" s="19">
        <v>6</v>
      </c>
      <c r="M10" s="19">
        <v>4</v>
      </c>
      <c r="N10" s="19"/>
    </row>
    <row r="11" spans="1:14" ht="15" customHeight="1" x14ac:dyDescent="0.3">
      <c r="A11" s="50"/>
      <c r="B11" s="51"/>
      <c r="C11" s="4" t="s">
        <v>35</v>
      </c>
      <c r="D11" s="4" t="s">
        <v>446</v>
      </c>
      <c r="E11" s="4" t="s">
        <v>36</v>
      </c>
      <c r="F11" s="17" t="s">
        <v>16</v>
      </c>
      <c r="G11" s="18" t="s">
        <v>17</v>
      </c>
      <c r="H11" s="4" t="s">
        <v>18</v>
      </c>
      <c r="I11" s="4" t="s">
        <v>37</v>
      </c>
      <c r="J11" s="4" t="s">
        <v>405</v>
      </c>
      <c r="K11" s="4" t="s">
        <v>20</v>
      </c>
      <c r="L11" s="19">
        <v>7</v>
      </c>
      <c r="M11" s="19">
        <v>4</v>
      </c>
      <c r="N11" s="19"/>
    </row>
    <row r="12" spans="1:14" ht="15" customHeight="1" x14ac:dyDescent="0.3">
      <c r="A12" s="50"/>
      <c r="B12" s="51"/>
      <c r="C12" s="4" t="s">
        <v>35</v>
      </c>
      <c r="D12" s="4" t="s">
        <v>447</v>
      </c>
      <c r="E12" s="4" t="s">
        <v>38</v>
      </c>
      <c r="F12" s="17" t="s">
        <v>16</v>
      </c>
      <c r="G12" s="18" t="s">
        <v>22</v>
      </c>
      <c r="H12" s="4" t="s">
        <v>23</v>
      </c>
      <c r="I12" s="4" t="s">
        <v>39</v>
      </c>
      <c r="J12" s="4" t="s">
        <v>407</v>
      </c>
      <c r="K12" s="4" t="s">
        <v>20</v>
      </c>
      <c r="L12" s="19">
        <v>8</v>
      </c>
      <c r="M12" s="19">
        <v>4</v>
      </c>
      <c r="N12" s="19"/>
    </row>
    <row r="13" spans="1:14" ht="15" customHeight="1" x14ac:dyDescent="0.3">
      <c r="A13" s="50"/>
      <c r="B13" s="51"/>
      <c r="C13" s="4" t="s">
        <v>40</v>
      </c>
      <c r="D13" s="4" t="s">
        <v>448</v>
      </c>
      <c r="E13" s="4" t="s">
        <v>41</v>
      </c>
      <c r="F13" s="17" t="s">
        <v>16</v>
      </c>
      <c r="G13" s="18" t="s">
        <v>17</v>
      </c>
      <c r="H13" s="4" t="s">
        <v>18</v>
      </c>
      <c r="I13" s="4" t="s">
        <v>42</v>
      </c>
      <c r="J13" s="4" t="s">
        <v>408</v>
      </c>
      <c r="K13" s="4" t="s">
        <v>20</v>
      </c>
      <c r="L13" s="19">
        <v>9</v>
      </c>
      <c r="M13" s="19">
        <v>4</v>
      </c>
      <c r="N13" s="19"/>
    </row>
    <row r="14" spans="1:14" ht="15" customHeight="1" x14ac:dyDescent="0.3">
      <c r="A14" s="50"/>
      <c r="B14" s="51"/>
      <c r="C14" s="4" t="s">
        <v>40</v>
      </c>
      <c r="D14" s="4" t="s">
        <v>449</v>
      </c>
      <c r="E14" s="4" t="s">
        <v>43</v>
      </c>
      <c r="F14" s="17" t="s">
        <v>16</v>
      </c>
      <c r="G14" s="18" t="s">
        <v>22</v>
      </c>
      <c r="H14" s="4" t="s">
        <v>23</v>
      </c>
      <c r="I14" s="4" t="s">
        <v>44</v>
      </c>
      <c r="J14" s="4" t="s">
        <v>409</v>
      </c>
      <c r="K14" s="4" t="s">
        <v>20</v>
      </c>
      <c r="L14" s="19">
        <v>10</v>
      </c>
      <c r="M14" s="19">
        <v>4</v>
      </c>
      <c r="N14" s="19"/>
    </row>
    <row r="15" spans="1:14" ht="15" customHeight="1" x14ac:dyDescent="0.3">
      <c r="A15" s="50"/>
      <c r="B15" s="51"/>
      <c r="C15" s="4" t="s">
        <v>45</v>
      </c>
      <c r="D15" s="4" t="s">
        <v>450</v>
      </c>
      <c r="E15" s="4" t="s">
        <v>46</v>
      </c>
      <c r="F15" s="17" t="s">
        <v>16</v>
      </c>
      <c r="G15" s="18" t="s">
        <v>17</v>
      </c>
      <c r="H15" s="4" t="s">
        <v>18</v>
      </c>
      <c r="I15" s="4" t="s">
        <v>47</v>
      </c>
      <c r="J15" s="4" t="s">
        <v>410</v>
      </c>
      <c r="K15" s="4" t="s">
        <v>20</v>
      </c>
      <c r="L15" s="19">
        <v>11</v>
      </c>
      <c r="M15" s="19">
        <v>4</v>
      </c>
      <c r="N15" s="19"/>
    </row>
    <row r="16" spans="1:14" ht="15" customHeight="1" x14ac:dyDescent="0.3">
      <c r="A16" s="50"/>
      <c r="B16" s="51"/>
      <c r="C16" s="4" t="s">
        <v>45</v>
      </c>
      <c r="D16" s="4" t="s">
        <v>451</v>
      </c>
      <c r="E16" s="4" t="s">
        <v>48</v>
      </c>
      <c r="F16" s="17" t="s">
        <v>16</v>
      </c>
      <c r="G16" s="18" t="s">
        <v>22</v>
      </c>
      <c r="H16" s="4" t="s">
        <v>23</v>
      </c>
      <c r="I16" s="4" t="s">
        <v>49</v>
      </c>
      <c r="J16" s="4" t="s">
        <v>50</v>
      </c>
      <c r="K16" s="4" t="s">
        <v>20</v>
      </c>
      <c r="L16" s="19">
        <v>12</v>
      </c>
      <c r="M16" s="19">
        <v>3.8</v>
      </c>
      <c r="N16" s="19"/>
    </row>
    <row r="17" spans="1:14" ht="15" customHeight="1" x14ac:dyDescent="0.3">
      <c r="A17" s="50"/>
      <c r="B17" s="51"/>
      <c r="C17" s="4" t="s">
        <v>51</v>
      </c>
      <c r="D17" s="4" t="s">
        <v>453</v>
      </c>
      <c r="E17" s="4" t="s">
        <v>52</v>
      </c>
      <c r="F17" s="17" t="s">
        <v>16</v>
      </c>
      <c r="G17" s="18" t="s">
        <v>17</v>
      </c>
      <c r="H17" s="4" t="s">
        <v>18</v>
      </c>
      <c r="I17" s="4" t="s">
        <v>53</v>
      </c>
      <c r="J17" s="4" t="s">
        <v>54</v>
      </c>
      <c r="K17" s="4" t="s">
        <v>20</v>
      </c>
      <c r="L17" s="19">
        <v>13</v>
      </c>
      <c r="M17" s="19">
        <v>3.7</v>
      </c>
      <c r="N17" s="19"/>
    </row>
    <row r="18" spans="1:14" ht="15" customHeight="1" x14ac:dyDescent="0.3">
      <c r="A18" s="50"/>
      <c r="B18" s="51"/>
      <c r="C18" s="4" t="s">
        <v>51</v>
      </c>
      <c r="D18" s="4" t="s">
        <v>452</v>
      </c>
      <c r="E18" s="4" t="s">
        <v>55</v>
      </c>
      <c r="F18" s="17" t="s">
        <v>16</v>
      </c>
      <c r="G18" s="18" t="s">
        <v>22</v>
      </c>
      <c r="H18" s="4" t="s">
        <v>23</v>
      </c>
      <c r="I18" s="4" t="s">
        <v>56</v>
      </c>
      <c r="J18" s="4" t="s">
        <v>57</v>
      </c>
      <c r="K18" s="4" t="s">
        <v>20</v>
      </c>
      <c r="L18" s="19">
        <v>14</v>
      </c>
      <c r="M18" s="19">
        <v>1.9</v>
      </c>
      <c r="N18" s="19"/>
    </row>
    <row r="19" spans="1:14" ht="15" customHeight="1" x14ac:dyDescent="0.3">
      <c r="A19" s="50"/>
      <c r="B19" s="51"/>
      <c r="C19" s="4" t="s">
        <v>58</v>
      </c>
      <c r="D19" s="4" t="s">
        <v>455</v>
      </c>
      <c r="E19" s="4" t="s">
        <v>59</v>
      </c>
      <c r="F19" s="17" t="s">
        <v>16</v>
      </c>
      <c r="G19" s="18" t="s">
        <v>17</v>
      </c>
      <c r="H19" s="4" t="s">
        <v>18</v>
      </c>
      <c r="I19" s="4" t="s">
        <v>60</v>
      </c>
      <c r="J19" s="4" t="s">
        <v>61</v>
      </c>
      <c r="K19" s="4" t="s">
        <v>20</v>
      </c>
      <c r="L19" s="19">
        <v>15</v>
      </c>
      <c r="M19" s="19">
        <v>7.2</v>
      </c>
      <c r="N19" s="19"/>
    </row>
    <row r="20" spans="1:14" ht="15" customHeight="1" x14ac:dyDescent="0.3">
      <c r="A20" s="50"/>
      <c r="B20" s="51"/>
      <c r="C20" s="4" t="s">
        <v>58</v>
      </c>
      <c r="D20" s="4" t="s">
        <v>454</v>
      </c>
      <c r="E20" s="4" t="s">
        <v>62</v>
      </c>
      <c r="F20" s="17" t="s">
        <v>16</v>
      </c>
      <c r="G20" s="18" t="s">
        <v>22</v>
      </c>
      <c r="H20" s="4" t="s">
        <v>23</v>
      </c>
      <c r="I20" s="4" t="s">
        <v>63</v>
      </c>
      <c r="J20" s="4" t="s">
        <v>64</v>
      </c>
      <c r="K20" s="4" t="s">
        <v>20</v>
      </c>
      <c r="L20" s="19">
        <v>16</v>
      </c>
      <c r="M20" s="19">
        <v>3.6</v>
      </c>
      <c r="N20" s="19"/>
    </row>
    <row r="21" spans="1:14" ht="15" customHeight="1" x14ac:dyDescent="0.3">
      <c r="A21" s="50"/>
      <c r="B21" s="51"/>
      <c r="C21" s="4" t="s">
        <v>65</v>
      </c>
      <c r="D21" s="4" t="s">
        <v>456</v>
      </c>
      <c r="E21" s="4" t="s">
        <v>66</v>
      </c>
      <c r="F21" s="17" t="s">
        <v>16</v>
      </c>
      <c r="G21" s="18" t="s">
        <v>17</v>
      </c>
      <c r="H21" s="4" t="s">
        <v>18</v>
      </c>
      <c r="I21" s="4" t="s">
        <v>67</v>
      </c>
      <c r="J21" s="4" t="s">
        <v>68</v>
      </c>
      <c r="K21" s="4" t="s">
        <v>20</v>
      </c>
      <c r="L21" s="19">
        <v>17</v>
      </c>
      <c r="M21" s="19">
        <v>1.8</v>
      </c>
      <c r="N21" s="19"/>
    </row>
    <row r="22" spans="1:14" ht="15" customHeight="1" x14ac:dyDescent="0.3">
      <c r="A22" s="50"/>
      <c r="B22" s="51"/>
      <c r="C22" s="4" t="s">
        <v>65</v>
      </c>
      <c r="D22" s="4" t="s">
        <v>457</v>
      </c>
      <c r="E22" s="4" t="s">
        <v>69</v>
      </c>
      <c r="F22" s="17" t="s">
        <v>16</v>
      </c>
      <c r="G22" s="18" t="s">
        <v>22</v>
      </c>
      <c r="H22" s="4" t="s">
        <v>23</v>
      </c>
      <c r="I22" s="4" t="s">
        <v>70</v>
      </c>
      <c r="J22" s="4" t="s">
        <v>71</v>
      </c>
      <c r="K22" s="4" t="s">
        <v>20</v>
      </c>
      <c r="L22" s="19">
        <v>18</v>
      </c>
      <c r="M22" s="19">
        <v>1.3</v>
      </c>
      <c r="N22" s="19"/>
    </row>
    <row r="23" spans="1:14" ht="15" customHeight="1" x14ac:dyDescent="0.3">
      <c r="A23" s="50"/>
      <c r="B23" s="51"/>
      <c r="C23" s="4" t="s">
        <v>72</v>
      </c>
      <c r="D23" s="4" t="s">
        <v>458</v>
      </c>
      <c r="E23" s="4" t="s">
        <v>73</v>
      </c>
      <c r="F23" s="17" t="s">
        <v>16</v>
      </c>
      <c r="G23" s="18" t="s">
        <v>17</v>
      </c>
      <c r="H23" s="4" t="s">
        <v>18</v>
      </c>
      <c r="I23" s="4" t="s">
        <v>74</v>
      </c>
      <c r="J23" s="4" t="s">
        <v>75</v>
      </c>
      <c r="K23" s="4" t="s">
        <v>20</v>
      </c>
      <c r="L23" s="19">
        <v>19</v>
      </c>
      <c r="M23" s="19">
        <v>7.3</v>
      </c>
      <c r="N23" s="19"/>
    </row>
    <row r="24" spans="1:14" ht="15" customHeight="1" x14ac:dyDescent="0.3">
      <c r="A24" s="50"/>
      <c r="B24" s="51"/>
      <c r="C24" s="4" t="s">
        <v>72</v>
      </c>
      <c r="D24" s="4" t="s">
        <v>459</v>
      </c>
      <c r="E24" s="4" t="s">
        <v>76</v>
      </c>
      <c r="F24" s="17" t="s">
        <v>16</v>
      </c>
      <c r="G24" s="18" t="s">
        <v>22</v>
      </c>
      <c r="H24" s="4" t="s">
        <v>23</v>
      </c>
      <c r="I24" s="20" t="s">
        <v>77</v>
      </c>
      <c r="J24" s="20" t="s">
        <v>78</v>
      </c>
      <c r="K24" s="20" t="s">
        <v>20</v>
      </c>
      <c r="L24" s="7">
        <v>20</v>
      </c>
      <c r="M24" s="20"/>
      <c r="N24" s="7">
        <v>2</v>
      </c>
    </row>
    <row r="25" spans="1:14" x14ac:dyDescent="0.3">
      <c r="A25" s="21"/>
      <c r="B25" s="21"/>
      <c r="C25" s="4"/>
      <c r="D25" s="4"/>
      <c r="E25" s="4"/>
      <c r="F25" s="22"/>
      <c r="G25" s="18"/>
      <c r="H25" s="4"/>
      <c r="I25" s="4" t="s">
        <v>79</v>
      </c>
      <c r="J25" s="4" t="s">
        <v>80</v>
      </c>
      <c r="K25" s="4" t="s">
        <v>20</v>
      </c>
      <c r="L25" s="19">
        <v>21</v>
      </c>
      <c r="M25" s="19"/>
      <c r="N25" s="19">
        <v>512</v>
      </c>
    </row>
    <row r="26" spans="1:14" x14ac:dyDescent="0.3">
      <c r="A26" s="21"/>
      <c r="B26" s="21"/>
      <c r="C26" s="4"/>
      <c r="D26" s="4"/>
      <c r="E26" s="4"/>
      <c r="F26" s="22"/>
      <c r="G26" s="18"/>
      <c r="H26" s="4"/>
      <c r="I26" s="4" t="s">
        <v>81</v>
      </c>
      <c r="J26" s="4" t="s">
        <v>82</v>
      </c>
      <c r="K26" s="4" t="s">
        <v>20</v>
      </c>
      <c r="L26" s="19">
        <v>22</v>
      </c>
      <c r="M26" s="19"/>
      <c r="N26" s="19">
        <v>512</v>
      </c>
    </row>
    <row r="27" spans="1:14" x14ac:dyDescent="0.3">
      <c r="A27" s="21"/>
      <c r="B27" s="21"/>
      <c r="C27" s="4"/>
      <c r="D27" s="4"/>
      <c r="E27" s="4"/>
      <c r="F27" s="22"/>
      <c r="G27" s="18"/>
      <c r="H27" s="4"/>
      <c r="I27" s="4" t="s">
        <v>83</v>
      </c>
      <c r="J27" s="4" t="s">
        <v>84</v>
      </c>
      <c r="K27" s="4" t="s">
        <v>20</v>
      </c>
      <c r="L27" s="19">
        <v>23</v>
      </c>
      <c r="M27" s="19"/>
      <c r="N27" s="19">
        <v>512</v>
      </c>
    </row>
    <row r="28" spans="1:14" x14ac:dyDescent="0.3">
      <c r="A28" s="21"/>
      <c r="B28" s="21"/>
      <c r="C28" s="4"/>
      <c r="D28" s="4"/>
      <c r="E28" s="4"/>
      <c r="F28" s="22"/>
      <c r="G28" s="18"/>
      <c r="H28" s="4"/>
      <c r="I28" s="4" t="s">
        <v>85</v>
      </c>
      <c r="J28" s="4" t="s">
        <v>86</v>
      </c>
      <c r="K28" s="4" t="s">
        <v>20</v>
      </c>
      <c r="L28" s="19">
        <v>24</v>
      </c>
      <c r="M28" s="19"/>
      <c r="N28" s="19">
        <v>307.2</v>
      </c>
    </row>
    <row r="29" spans="1:14" x14ac:dyDescent="0.3">
      <c r="A29" s="21"/>
      <c r="B29" s="21"/>
      <c r="C29" s="4"/>
      <c r="D29" s="4"/>
      <c r="E29" s="4"/>
      <c r="F29" s="22"/>
      <c r="G29" s="18"/>
      <c r="H29" s="4"/>
      <c r="I29" s="4" t="s">
        <v>87</v>
      </c>
      <c r="J29" s="4" t="s">
        <v>88</v>
      </c>
      <c r="K29" s="4" t="s">
        <v>20</v>
      </c>
      <c r="L29" s="19">
        <v>25</v>
      </c>
      <c r="M29" s="19"/>
      <c r="N29" s="19">
        <v>307.2</v>
      </c>
    </row>
    <row r="30" spans="1:14" x14ac:dyDescent="0.3">
      <c r="A30" s="21"/>
      <c r="B30" s="21"/>
      <c r="C30" s="4"/>
      <c r="D30" s="4"/>
      <c r="E30" s="4"/>
      <c r="F30" s="22"/>
      <c r="G30" s="18"/>
      <c r="H30" s="4"/>
      <c r="I30" s="20" t="s">
        <v>89</v>
      </c>
      <c r="J30" s="20" t="s">
        <v>90</v>
      </c>
      <c r="K30" s="20" t="s">
        <v>20</v>
      </c>
      <c r="L30" s="7">
        <v>27</v>
      </c>
      <c r="M30" s="20"/>
      <c r="N30" s="7">
        <v>2</v>
      </c>
    </row>
    <row r="31" spans="1:14" x14ac:dyDescent="0.3">
      <c r="A31" s="21"/>
      <c r="B31" s="21"/>
      <c r="C31" s="4"/>
      <c r="D31" s="4"/>
      <c r="E31" s="4"/>
      <c r="F31" s="22"/>
      <c r="G31" s="18"/>
      <c r="H31" s="4"/>
      <c r="I31" s="4" t="s">
        <v>91</v>
      </c>
      <c r="J31" s="4" t="s">
        <v>92</v>
      </c>
      <c r="K31" s="4" t="s">
        <v>20</v>
      </c>
      <c r="L31" s="19">
        <v>28</v>
      </c>
      <c r="M31" s="19"/>
      <c r="N31" s="19">
        <v>1.8</v>
      </c>
    </row>
    <row r="32" spans="1:14" x14ac:dyDescent="0.3">
      <c r="A32" s="21"/>
      <c r="B32" s="21"/>
      <c r="C32" s="4"/>
      <c r="D32" s="4"/>
      <c r="E32" s="4"/>
      <c r="F32" s="22"/>
      <c r="G32" s="18"/>
      <c r="H32" s="4"/>
      <c r="I32" s="4" t="s">
        <v>93</v>
      </c>
      <c r="J32" s="4" t="s">
        <v>399</v>
      </c>
      <c r="K32" s="4" t="s">
        <v>20</v>
      </c>
      <c r="L32" s="19">
        <v>29</v>
      </c>
      <c r="M32" s="19">
        <v>4</v>
      </c>
      <c r="N32" s="19"/>
    </row>
    <row r="33" spans="1:14" x14ac:dyDescent="0.3">
      <c r="A33" s="21"/>
      <c r="B33" s="21"/>
      <c r="C33" s="4"/>
      <c r="D33" s="4"/>
      <c r="E33" s="4"/>
      <c r="F33" s="22"/>
      <c r="G33" s="18"/>
      <c r="H33" s="4"/>
      <c r="I33" s="4" t="s">
        <v>94</v>
      </c>
      <c r="J33" s="4" t="s">
        <v>398</v>
      </c>
      <c r="K33" s="4" t="s">
        <v>20</v>
      </c>
      <c r="L33" s="19">
        <v>30</v>
      </c>
      <c r="M33" s="19">
        <v>4</v>
      </c>
      <c r="N33" s="19"/>
    </row>
    <row r="34" spans="1:14" x14ac:dyDescent="0.3">
      <c r="A34" s="21"/>
      <c r="B34" s="21"/>
      <c r="C34" s="4"/>
      <c r="D34" s="4"/>
      <c r="E34" s="4"/>
      <c r="F34" s="22"/>
      <c r="G34" s="18"/>
      <c r="H34" s="4"/>
      <c r="I34" s="4" t="s">
        <v>95</v>
      </c>
      <c r="J34" s="4" t="s">
        <v>397</v>
      </c>
      <c r="K34" s="4" t="s">
        <v>20</v>
      </c>
      <c r="L34" s="19">
        <v>31</v>
      </c>
      <c r="M34" s="19">
        <v>4</v>
      </c>
      <c r="N34" s="19"/>
    </row>
    <row r="35" spans="1:14" x14ac:dyDescent="0.3">
      <c r="A35" s="21"/>
      <c r="B35" s="21"/>
      <c r="C35" s="4"/>
      <c r="D35" s="4"/>
      <c r="E35" s="4"/>
      <c r="F35" s="22"/>
      <c r="G35" s="18"/>
      <c r="H35" s="4"/>
      <c r="I35" s="4" t="s">
        <v>96</v>
      </c>
      <c r="J35" s="4" t="s">
        <v>396</v>
      </c>
      <c r="K35" s="4" t="s">
        <v>20</v>
      </c>
      <c r="L35" s="19">
        <v>32</v>
      </c>
      <c r="M35" s="19">
        <v>4</v>
      </c>
      <c r="N35" s="19"/>
    </row>
    <row r="36" spans="1:14" x14ac:dyDescent="0.3">
      <c r="A36" s="21"/>
      <c r="B36" s="21"/>
      <c r="C36" s="4"/>
      <c r="D36" s="4"/>
      <c r="E36" s="4"/>
      <c r="F36" s="22"/>
      <c r="G36" s="18"/>
      <c r="H36" s="4"/>
      <c r="I36" s="4" t="s">
        <v>97</v>
      </c>
      <c r="J36" s="4" t="s">
        <v>395</v>
      </c>
      <c r="K36" s="4" t="s">
        <v>20</v>
      </c>
      <c r="L36" s="19">
        <v>33</v>
      </c>
      <c r="M36" s="19">
        <v>4</v>
      </c>
      <c r="N36" s="19"/>
    </row>
    <row r="37" spans="1:14" x14ac:dyDescent="0.3">
      <c r="A37" s="21"/>
      <c r="B37" s="21"/>
      <c r="C37" s="4"/>
      <c r="D37" s="4"/>
      <c r="E37" s="4"/>
      <c r="F37" s="22"/>
      <c r="G37" s="18"/>
      <c r="H37" s="4"/>
      <c r="I37" s="4" t="s">
        <v>98</v>
      </c>
      <c r="J37" s="4" t="s">
        <v>99</v>
      </c>
      <c r="K37" s="4" t="s">
        <v>20</v>
      </c>
      <c r="L37" s="19">
        <v>34</v>
      </c>
      <c r="M37" s="19"/>
      <c r="N37" s="19">
        <v>512</v>
      </c>
    </row>
    <row r="38" spans="1:14" x14ac:dyDescent="0.3">
      <c r="A38" s="21"/>
      <c r="B38" s="21"/>
      <c r="C38" s="4"/>
      <c r="D38" s="4"/>
      <c r="E38" s="4"/>
      <c r="F38" s="22"/>
      <c r="G38" s="18"/>
      <c r="H38" s="4"/>
      <c r="I38" s="4" t="s">
        <v>100</v>
      </c>
      <c r="J38" s="4" t="s">
        <v>101</v>
      </c>
      <c r="K38" s="4" t="s">
        <v>20</v>
      </c>
      <c r="L38" s="19">
        <v>35</v>
      </c>
      <c r="M38" s="19"/>
      <c r="N38" s="19">
        <v>830</v>
      </c>
    </row>
    <row r="39" spans="1:14" x14ac:dyDescent="0.3">
      <c r="A39" s="21"/>
      <c r="B39" s="21"/>
      <c r="C39" s="4"/>
      <c r="D39" s="4"/>
      <c r="E39" s="4"/>
      <c r="F39" s="22"/>
      <c r="G39" s="18"/>
      <c r="H39" s="4"/>
      <c r="I39" s="4" t="s">
        <v>102</v>
      </c>
      <c r="J39" s="4" t="s">
        <v>103</v>
      </c>
      <c r="K39" s="4" t="s">
        <v>20</v>
      </c>
      <c r="L39" s="19">
        <v>36</v>
      </c>
      <c r="M39" s="19">
        <v>12</v>
      </c>
      <c r="N39" s="19"/>
    </row>
    <row r="40" spans="1:14" x14ac:dyDescent="0.3">
      <c r="A40" s="21"/>
      <c r="B40" s="21"/>
      <c r="C40" s="4"/>
      <c r="D40" s="4"/>
      <c r="E40" s="4"/>
      <c r="F40" s="22"/>
      <c r="G40" s="18"/>
      <c r="H40" s="4"/>
      <c r="I40" s="4" t="s">
        <v>104</v>
      </c>
      <c r="J40" s="4" t="s">
        <v>105</v>
      </c>
      <c r="K40" s="4" t="s">
        <v>20</v>
      </c>
      <c r="L40" s="19">
        <v>37</v>
      </c>
      <c r="M40" s="19">
        <v>3.6</v>
      </c>
      <c r="N40" s="19"/>
    </row>
    <row r="41" spans="1:14" x14ac:dyDescent="0.3">
      <c r="A41" s="21"/>
      <c r="B41" s="21"/>
      <c r="C41" s="4"/>
      <c r="D41" s="4"/>
      <c r="E41" s="4"/>
      <c r="F41" s="22"/>
      <c r="G41" s="18"/>
      <c r="H41" s="4"/>
      <c r="I41" s="4" t="s">
        <v>106</v>
      </c>
      <c r="J41" s="4" t="s">
        <v>107</v>
      </c>
      <c r="K41" s="4" t="s">
        <v>20</v>
      </c>
      <c r="L41" s="19">
        <v>38</v>
      </c>
      <c r="M41" s="19"/>
      <c r="N41" s="19">
        <v>600</v>
      </c>
    </row>
    <row r="42" spans="1:14" x14ac:dyDescent="0.3">
      <c r="A42" s="21"/>
      <c r="B42" s="21"/>
      <c r="C42" s="4"/>
      <c r="D42" s="4"/>
      <c r="E42" s="4"/>
      <c r="F42" s="22"/>
      <c r="G42" s="18"/>
      <c r="H42" s="4"/>
      <c r="I42" s="4" t="s">
        <v>108</v>
      </c>
      <c r="J42" s="4" t="s">
        <v>109</v>
      </c>
      <c r="K42" s="4" t="s">
        <v>20</v>
      </c>
      <c r="L42" s="19">
        <v>39</v>
      </c>
      <c r="M42" s="19"/>
      <c r="N42" s="23">
        <v>1000</v>
      </c>
    </row>
    <row r="43" spans="1:14" x14ac:dyDescent="0.3">
      <c r="A43" s="21"/>
      <c r="B43" s="21"/>
      <c r="C43" s="4"/>
      <c r="D43" s="4"/>
      <c r="E43" s="4"/>
      <c r="F43" s="22"/>
      <c r="G43" s="18"/>
      <c r="H43" s="4"/>
      <c r="I43" s="20" t="s">
        <v>110</v>
      </c>
      <c r="J43" s="20" t="s">
        <v>111</v>
      </c>
      <c r="K43" s="20" t="s">
        <v>20</v>
      </c>
      <c r="L43" s="7">
        <v>40</v>
      </c>
      <c r="M43" s="7"/>
      <c r="N43" s="7">
        <v>2</v>
      </c>
    </row>
    <row r="44" spans="1:14" x14ac:dyDescent="0.3">
      <c r="A44" s="21"/>
      <c r="B44" s="21"/>
      <c r="C44" s="4"/>
      <c r="D44" s="4"/>
      <c r="E44" s="4"/>
      <c r="F44" s="22"/>
      <c r="G44" s="18"/>
      <c r="H44" s="4"/>
      <c r="I44" s="4" t="s">
        <v>112</v>
      </c>
      <c r="J44" s="4" t="s">
        <v>113</v>
      </c>
      <c r="K44" s="4" t="s">
        <v>20</v>
      </c>
      <c r="L44" s="19">
        <v>41</v>
      </c>
      <c r="M44" s="19">
        <v>4.4000000000000004</v>
      </c>
      <c r="N44" s="19"/>
    </row>
    <row r="45" spans="1:14" x14ac:dyDescent="0.3">
      <c r="A45" s="21"/>
      <c r="B45" s="21"/>
      <c r="C45" s="4"/>
      <c r="D45" s="4"/>
      <c r="E45" s="4"/>
      <c r="F45" s="22"/>
      <c r="G45" s="18"/>
      <c r="H45" s="4"/>
      <c r="I45" s="4" t="s">
        <v>114</v>
      </c>
      <c r="J45" s="4" t="s">
        <v>115</v>
      </c>
      <c r="K45" s="4" t="s">
        <v>20</v>
      </c>
      <c r="L45" s="19">
        <v>42</v>
      </c>
      <c r="M45" s="19">
        <v>1.4</v>
      </c>
      <c r="N45" s="19"/>
    </row>
    <row r="46" spans="1:14" x14ac:dyDescent="0.3">
      <c r="A46" s="21"/>
      <c r="B46" s="21"/>
      <c r="C46" s="4"/>
      <c r="D46" s="4"/>
      <c r="E46" s="4"/>
      <c r="F46" s="22"/>
      <c r="G46" s="18"/>
      <c r="H46" s="4"/>
      <c r="I46" s="4" t="s">
        <v>116</v>
      </c>
      <c r="J46" s="4" t="s">
        <v>117</v>
      </c>
      <c r="K46" s="4" t="s">
        <v>20</v>
      </c>
      <c r="L46" s="19">
        <v>43</v>
      </c>
      <c r="M46" s="19">
        <v>8.4</v>
      </c>
      <c r="N46" s="19"/>
    </row>
    <row r="47" spans="1:14" x14ac:dyDescent="0.3">
      <c r="A47" s="21"/>
      <c r="B47" s="21"/>
      <c r="C47" s="4"/>
      <c r="D47" s="4"/>
      <c r="E47" s="4"/>
      <c r="F47" s="22"/>
      <c r="G47" s="18"/>
      <c r="H47" s="4"/>
      <c r="I47" s="4" t="s">
        <v>118</v>
      </c>
      <c r="J47" s="4" t="s">
        <v>119</v>
      </c>
      <c r="K47" s="4" t="s">
        <v>20</v>
      </c>
      <c r="L47" s="19">
        <v>44</v>
      </c>
      <c r="M47" s="19">
        <v>4.0999999999999996</v>
      </c>
      <c r="N47" s="19"/>
    </row>
    <row r="48" spans="1:14" x14ac:dyDescent="0.3">
      <c r="A48" s="21"/>
      <c r="B48" s="21"/>
      <c r="C48" s="4"/>
      <c r="D48" s="4"/>
      <c r="E48" s="4"/>
      <c r="F48" s="22"/>
      <c r="G48" s="18"/>
      <c r="H48" s="4"/>
      <c r="I48" s="4" t="s">
        <v>120</v>
      </c>
      <c r="J48" s="4" t="s">
        <v>121</v>
      </c>
      <c r="K48" s="4" t="s">
        <v>20</v>
      </c>
      <c r="L48" s="19">
        <v>45</v>
      </c>
      <c r="M48" s="19">
        <v>2.1</v>
      </c>
      <c r="N48" s="19"/>
    </row>
    <row r="49" spans="1:14" x14ac:dyDescent="0.3">
      <c r="A49" s="21"/>
      <c r="B49" s="21"/>
      <c r="C49" s="4"/>
      <c r="D49" s="4"/>
      <c r="E49" s="4"/>
      <c r="F49" s="22"/>
      <c r="G49" s="18"/>
      <c r="H49" s="4"/>
      <c r="I49" s="4" t="s">
        <v>122</v>
      </c>
      <c r="J49" s="4" t="s">
        <v>123</v>
      </c>
      <c r="K49" s="4" t="s">
        <v>20</v>
      </c>
      <c r="L49" s="19">
        <v>46</v>
      </c>
      <c r="M49" s="19">
        <v>8.4</v>
      </c>
      <c r="N49" s="19"/>
    </row>
    <row r="50" spans="1:14" x14ac:dyDescent="0.3">
      <c r="A50" s="21"/>
      <c r="B50" s="21"/>
      <c r="C50" s="4"/>
      <c r="D50" s="4"/>
      <c r="E50" s="4"/>
      <c r="F50" s="22"/>
      <c r="G50" s="18"/>
      <c r="H50" s="4"/>
      <c r="I50" s="4" t="s">
        <v>124</v>
      </c>
      <c r="J50" s="4" t="s">
        <v>125</v>
      </c>
      <c r="K50" s="4" t="s">
        <v>20</v>
      </c>
      <c r="L50" s="19">
        <v>47</v>
      </c>
      <c r="M50" s="19">
        <v>4.0999999999999996</v>
      </c>
      <c r="N50" s="19"/>
    </row>
    <row r="51" spans="1:14" x14ac:dyDescent="0.3">
      <c r="A51" s="21"/>
      <c r="B51" s="21"/>
      <c r="C51" s="4"/>
      <c r="D51" s="4"/>
      <c r="E51" s="4"/>
      <c r="F51" s="22"/>
      <c r="G51" s="18"/>
      <c r="H51" s="4"/>
      <c r="I51" s="4" t="s">
        <v>126</v>
      </c>
      <c r="J51" s="4" t="s">
        <v>127</v>
      </c>
      <c r="K51" s="4" t="s">
        <v>20</v>
      </c>
      <c r="L51" s="19">
        <v>48</v>
      </c>
      <c r="M51" s="19">
        <v>2.1</v>
      </c>
      <c r="N51" s="19"/>
    </row>
    <row r="52" spans="1:14" x14ac:dyDescent="0.3">
      <c r="A52" s="21"/>
      <c r="B52" s="21"/>
      <c r="C52" s="4"/>
      <c r="D52" s="4"/>
      <c r="E52" s="4"/>
      <c r="F52" s="22"/>
      <c r="G52" s="18"/>
      <c r="H52" s="4"/>
      <c r="I52" s="4" t="s">
        <v>128</v>
      </c>
      <c r="J52" s="4" t="s">
        <v>129</v>
      </c>
      <c r="K52" s="4" t="s">
        <v>20</v>
      </c>
      <c r="L52" s="19">
        <v>49</v>
      </c>
      <c r="M52" s="19"/>
      <c r="N52" s="19">
        <v>550</v>
      </c>
    </row>
    <row r="53" spans="1:14" x14ac:dyDescent="0.3">
      <c r="A53" s="21"/>
      <c r="B53" s="21"/>
      <c r="C53" s="4"/>
      <c r="D53" s="4"/>
      <c r="E53" s="4"/>
      <c r="F53" s="22"/>
      <c r="G53" s="18"/>
      <c r="H53" s="4"/>
      <c r="I53" s="4" t="s">
        <v>130</v>
      </c>
      <c r="J53" s="4" t="s">
        <v>131</v>
      </c>
      <c r="K53" s="4" t="s">
        <v>20</v>
      </c>
      <c r="L53" s="19">
        <v>50</v>
      </c>
      <c r="M53" s="19"/>
      <c r="N53" s="19">
        <v>860</v>
      </c>
    </row>
    <row r="54" spans="1:14" x14ac:dyDescent="0.3">
      <c r="A54" s="21"/>
      <c r="B54" s="21"/>
      <c r="C54" s="4"/>
      <c r="D54" s="4"/>
      <c r="E54" s="4"/>
      <c r="F54" s="22"/>
      <c r="G54" s="18"/>
      <c r="H54" s="4"/>
      <c r="I54" s="4" t="s">
        <v>132</v>
      </c>
      <c r="J54" s="4" t="s">
        <v>133</v>
      </c>
      <c r="K54" s="4" t="s">
        <v>20</v>
      </c>
      <c r="L54" s="19">
        <v>51</v>
      </c>
      <c r="M54" s="19">
        <v>3</v>
      </c>
      <c r="N54" s="19"/>
    </row>
    <row r="55" spans="1:14" x14ac:dyDescent="0.3">
      <c r="A55" s="21"/>
      <c r="B55" s="21"/>
      <c r="C55" s="4"/>
      <c r="D55" s="4"/>
      <c r="E55" s="4"/>
      <c r="F55" s="22"/>
      <c r="G55" s="18"/>
      <c r="H55" s="4"/>
      <c r="I55" s="20" t="s">
        <v>134</v>
      </c>
      <c r="J55" s="20" t="s">
        <v>135</v>
      </c>
      <c r="K55" s="20" t="s">
        <v>20</v>
      </c>
      <c r="L55" s="7">
        <v>52</v>
      </c>
      <c r="M55" s="20"/>
      <c r="N55" s="7">
        <v>2</v>
      </c>
    </row>
    <row r="56" spans="1:14" x14ac:dyDescent="0.3">
      <c r="A56" s="21"/>
      <c r="B56" s="21"/>
      <c r="C56" s="4"/>
      <c r="D56" s="4"/>
      <c r="E56" s="4"/>
      <c r="F56" s="22"/>
      <c r="G56" s="18"/>
      <c r="H56" s="4"/>
      <c r="I56" s="4" t="s">
        <v>136</v>
      </c>
      <c r="J56" s="4" t="s">
        <v>137</v>
      </c>
      <c r="K56" s="4" t="s">
        <v>20</v>
      </c>
      <c r="L56" s="19">
        <v>53</v>
      </c>
      <c r="M56" s="19"/>
      <c r="N56" s="19">
        <v>550</v>
      </c>
    </row>
    <row r="57" spans="1:14" x14ac:dyDescent="0.3">
      <c r="A57" s="21"/>
      <c r="B57" s="21"/>
      <c r="C57" s="4"/>
      <c r="D57" s="4"/>
      <c r="E57" s="4"/>
      <c r="F57" s="22"/>
      <c r="G57" s="18"/>
      <c r="H57" s="4"/>
      <c r="I57" s="4" t="s">
        <v>138</v>
      </c>
      <c r="J57" s="4" t="s">
        <v>139</v>
      </c>
      <c r="K57" s="4" t="s">
        <v>20</v>
      </c>
      <c r="L57" s="19">
        <v>54</v>
      </c>
      <c r="M57" s="19"/>
      <c r="N57" s="19">
        <v>550</v>
      </c>
    </row>
    <row r="58" spans="1:14" x14ac:dyDescent="0.3">
      <c r="A58" s="21"/>
      <c r="B58" s="21"/>
      <c r="C58" s="4"/>
      <c r="D58" s="4"/>
      <c r="E58" s="4"/>
      <c r="F58" s="22"/>
      <c r="G58" s="18"/>
      <c r="H58" s="4"/>
      <c r="I58" s="4" t="s">
        <v>140</v>
      </c>
      <c r="J58" s="4" t="s">
        <v>141</v>
      </c>
      <c r="K58" s="4" t="s">
        <v>20</v>
      </c>
      <c r="L58" s="19">
        <v>55</v>
      </c>
      <c r="M58" s="19"/>
      <c r="N58" s="19">
        <v>550</v>
      </c>
    </row>
    <row r="59" spans="1:14" x14ac:dyDescent="0.3">
      <c r="A59" s="21"/>
      <c r="B59" s="21"/>
      <c r="C59" s="4"/>
      <c r="D59" s="4"/>
      <c r="E59" s="4"/>
      <c r="F59" s="22"/>
      <c r="G59" s="18"/>
      <c r="H59" s="4"/>
      <c r="I59" s="4" t="s">
        <v>142</v>
      </c>
      <c r="J59" s="4" t="s">
        <v>143</v>
      </c>
      <c r="K59" s="4" t="s">
        <v>20</v>
      </c>
      <c r="L59" s="19">
        <v>56</v>
      </c>
      <c r="M59" s="19"/>
      <c r="N59" s="19">
        <v>330</v>
      </c>
    </row>
    <row r="60" spans="1:14" x14ac:dyDescent="0.3">
      <c r="A60" s="21"/>
      <c r="B60" s="21"/>
      <c r="C60" s="4"/>
      <c r="D60" s="4"/>
      <c r="E60" s="4"/>
      <c r="F60" s="22"/>
      <c r="G60" s="18"/>
      <c r="H60" s="4"/>
      <c r="I60" s="4" t="s">
        <v>144</v>
      </c>
      <c r="J60" s="4" t="s">
        <v>145</v>
      </c>
      <c r="K60" s="4" t="s">
        <v>20</v>
      </c>
      <c r="L60" s="19">
        <v>57</v>
      </c>
      <c r="M60" s="19"/>
      <c r="N60" s="19">
        <v>330</v>
      </c>
    </row>
    <row r="61" spans="1:14" x14ac:dyDescent="0.3">
      <c r="A61" s="21"/>
      <c r="B61" s="21"/>
      <c r="C61" s="4"/>
      <c r="D61" s="4"/>
      <c r="E61" s="4"/>
      <c r="F61" s="22"/>
      <c r="G61" s="18"/>
      <c r="H61" s="4"/>
      <c r="I61" s="4" t="s">
        <v>146</v>
      </c>
      <c r="J61" s="4" t="s">
        <v>147</v>
      </c>
      <c r="K61" s="4" t="s">
        <v>20</v>
      </c>
      <c r="L61" s="19">
        <v>58</v>
      </c>
      <c r="M61" s="19"/>
      <c r="N61" s="19">
        <v>1.4</v>
      </c>
    </row>
    <row r="62" spans="1:14" x14ac:dyDescent="0.3">
      <c r="A62" s="21"/>
      <c r="B62" s="21"/>
      <c r="C62" s="4"/>
      <c r="D62" s="4"/>
      <c r="E62" s="4"/>
      <c r="F62" s="22"/>
      <c r="G62" s="18"/>
      <c r="H62" s="4"/>
      <c r="I62" s="4" t="s">
        <v>148</v>
      </c>
      <c r="J62" s="4" t="s">
        <v>149</v>
      </c>
      <c r="K62" s="4" t="s">
        <v>20</v>
      </c>
      <c r="L62" s="19">
        <v>59</v>
      </c>
      <c r="M62" s="19"/>
      <c r="N62" s="19">
        <v>250</v>
      </c>
    </row>
    <row r="63" spans="1:14" x14ac:dyDescent="0.3">
      <c r="A63" s="21"/>
      <c r="B63" s="21"/>
      <c r="C63" s="4"/>
      <c r="D63" s="4"/>
      <c r="E63" s="4"/>
      <c r="F63" s="22"/>
      <c r="G63" s="18"/>
      <c r="H63" s="4"/>
      <c r="I63" s="20" t="s">
        <v>150</v>
      </c>
      <c r="J63" s="20" t="s">
        <v>151</v>
      </c>
      <c r="K63" s="20" t="s">
        <v>20</v>
      </c>
      <c r="L63" s="7">
        <v>60</v>
      </c>
      <c r="M63" s="20"/>
      <c r="N63" s="7">
        <v>2</v>
      </c>
    </row>
    <row r="64" spans="1:14" x14ac:dyDescent="0.3">
      <c r="A64" s="4"/>
      <c r="B64" s="4"/>
      <c r="C64" s="4"/>
      <c r="D64" s="4"/>
      <c r="E64" s="19"/>
      <c r="F64" s="4"/>
      <c r="G64" s="4"/>
      <c r="H64" s="4"/>
      <c r="I64" s="4" t="s">
        <v>152</v>
      </c>
      <c r="J64" s="4" t="s">
        <v>394</v>
      </c>
      <c r="K64" s="4" t="s">
        <v>20</v>
      </c>
      <c r="L64" s="19">
        <v>61</v>
      </c>
      <c r="M64" s="19">
        <v>4</v>
      </c>
      <c r="N64" s="19"/>
    </row>
    <row r="65" spans="1:14" x14ac:dyDescent="0.3">
      <c r="A65" s="4"/>
      <c r="B65" s="4"/>
      <c r="C65" s="4"/>
      <c r="D65" s="4"/>
      <c r="E65" s="19"/>
      <c r="F65" s="4"/>
      <c r="G65" s="4"/>
      <c r="H65" s="4"/>
      <c r="I65" s="4" t="s">
        <v>153</v>
      </c>
      <c r="J65" s="4" t="s">
        <v>393</v>
      </c>
      <c r="K65" s="4" t="s">
        <v>20</v>
      </c>
      <c r="L65" s="19">
        <v>62</v>
      </c>
      <c r="M65" s="19">
        <v>4</v>
      </c>
      <c r="N65" s="19"/>
    </row>
    <row r="66" spans="1:14" x14ac:dyDescent="0.3">
      <c r="A66" s="4"/>
      <c r="B66" s="4"/>
      <c r="C66" s="4"/>
      <c r="D66" s="4"/>
      <c r="E66" s="19"/>
      <c r="F66" s="4"/>
      <c r="G66" s="4"/>
      <c r="H66" s="4"/>
      <c r="I66" s="4" t="s">
        <v>154</v>
      </c>
      <c r="J66" s="4" t="s">
        <v>392</v>
      </c>
      <c r="K66" s="4" t="s">
        <v>20</v>
      </c>
      <c r="L66" s="19">
        <v>63</v>
      </c>
      <c r="M66" s="19">
        <v>4</v>
      </c>
      <c r="N66" s="19"/>
    </row>
    <row r="67" spans="1:14" x14ac:dyDescent="0.3">
      <c r="A67" s="4"/>
      <c r="B67" s="4"/>
      <c r="C67" s="4"/>
      <c r="D67" s="4"/>
      <c r="E67" s="19"/>
      <c r="F67" s="4"/>
      <c r="G67" s="4"/>
      <c r="H67" s="4"/>
      <c r="I67" s="4" t="s">
        <v>155</v>
      </c>
      <c r="J67" s="4" t="s">
        <v>391</v>
      </c>
      <c r="K67" s="4" t="s">
        <v>20</v>
      </c>
      <c r="L67" s="19">
        <v>64</v>
      </c>
      <c r="M67" s="19">
        <v>4</v>
      </c>
      <c r="N67" s="19"/>
    </row>
    <row r="68" spans="1:14" x14ac:dyDescent="0.3">
      <c r="A68" s="4"/>
      <c r="B68" s="4"/>
      <c r="C68" s="4"/>
      <c r="D68" s="4"/>
      <c r="E68" s="19"/>
      <c r="F68" s="4"/>
      <c r="G68" s="4"/>
      <c r="H68" s="4"/>
      <c r="I68" s="4" t="s">
        <v>156</v>
      </c>
      <c r="J68" s="4" t="s">
        <v>390</v>
      </c>
      <c r="K68" s="4" t="s">
        <v>20</v>
      </c>
      <c r="L68" s="19">
        <v>65</v>
      </c>
      <c r="M68" s="19">
        <v>4</v>
      </c>
      <c r="N68" s="19"/>
    </row>
    <row r="69" spans="1:14" x14ac:dyDescent="0.3">
      <c r="A69" s="4"/>
      <c r="B69" s="4"/>
      <c r="C69" s="4"/>
      <c r="D69" s="4"/>
      <c r="E69" s="19"/>
      <c r="F69" s="4"/>
      <c r="G69" s="4"/>
      <c r="H69" s="4"/>
      <c r="I69" s="4" t="s">
        <v>157</v>
      </c>
      <c r="J69" s="4" t="s">
        <v>389</v>
      </c>
      <c r="K69" s="4" t="s">
        <v>20</v>
      </c>
      <c r="L69" s="19">
        <v>66</v>
      </c>
      <c r="M69" s="19">
        <v>4</v>
      </c>
      <c r="N69" s="19"/>
    </row>
    <row r="70" spans="1:14" x14ac:dyDescent="0.3">
      <c r="A70" s="4"/>
      <c r="B70" s="4"/>
      <c r="C70" s="4"/>
      <c r="D70" s="4"/>
      <c r="E70" s="19"/>
      <c r="F70" s="4"/>
      <c r="G70" s="4"/>
      <c r="H70" s="4"/>
      <c r="I70" s="4" t="s">
        <v>158</v>
      </c>
      <c r="J70" s="4" t="s">
        <v>388</v>
      </c>
      <c r="K70" s="4" t="s">
        <v>20</v>
      </c>
      <c r="L70" s="19">
        <v>67</v>
      </c>
      <c r="M70" s="19">
        <v>4</v>
      </c>
      <c r="N70" s="19"/>
    </row>
    <row r="71" spans="1:14" x14ac:dyDescent="0.3">
      <c r="A71" s="4"/>
      <c r="B71" s="4"/>
      <c r="C71" s="4"/>
      <c r="D71" s="4"/>
      <c r="E71" s="19"/>
      <c r="F71" s="4"/>
      <c r="G71" s="4"/>
      <c r="H71" s="4"/>
      <c r="I71" s="4" t="s">
        <v>159</v>
      </c>
      <c r="J71" s="4" t="s">
        <v>387</v>
      </c>
      <c r="K71" s="4" t="s">
        <v>20</v>
      </c>
      <c r="L71" s="19">
        <v>68</v>
      </c>
      <c r="M71" s="19">
        <v>4</v>
      </c>
      <c r="N71" s="19"/>
    </row>
    <row r="72" spans="1:14" x14ac:dyDescent="0.3">
      <c r="A72" s="4"/>
      <c r="B72" s="4"/>
      <c r="C72" s="4"/>
      <c r="D72" s="4"/>
      <c r="E72" s="19"/>
      <c r="F72" s="4"/>
      <c r="G72" s="4"/>
      <c r="H72" s="4"/>
      <c r="I72" s="4" t="s">
        <v>160</v>
      </c>
      <c r="J72" s="4" t="s">
        <v>161</v>
      </c>
      <c r="K72" s="4" t="s">
        <v>20</v>
      </c>
      <c r="L72" s="19">
        <v>72</v>
      </c>
      <c r="M72" s="19">
        <v>1.5</v>
      </c>
      <c r="N72" s="19"/>
    </row>
    <row r="73" spans="1:14" x14ac:dyDescent="0.3">
      <c r="A73" s="4"/>
      <c r="B73" s="4"/>
      <c r="C73" s="4"/>
      <c r="D73" s="4"/>
      <c r="E73" s="19"/>
      <c r="F73" s="4"/>
      <c r="G73" s="4"/>
      <c r="H73" s="4"/>
      <c r="I73" s="4" t="s">
        <v>162</v>
      </c>
      <c r="J73" s="4" t="s">
        <v>163</v>
      </c>
      <c r="K73" s="4" t="s">
        <v>20</v>
      </c>
      <c r="L73" s="19">
        <v>73</v>
      </c>
      <c r="M73" s="19">
        <v>1</v>
      </c>
      <c r="N73" s="19"/>
    </row>
    <row r="74" spans="1:14" x14ac:dyDescent="0.3">
      <c r="A74" s="4"/>
      <c r="B74" s="4"/>
      <c r="C74" s="4"/>
      <c r="D74" s="4"/>
      <c r="E74" s="19"/>
      <c r="F74" s="4"/>
      <c r="G74" s="4"/>
      <c r="H74" s="4"/>
      <c r="I74" s="4" t="s">
        <v>164</v>
      </c>
      <c r="J74" s="4" t="s">
        <v>165</v>
      </c>
      <c r="K74" s="4" t="s">
        <v>20</v>
      </c>
      <c r="L74" s="19">
        <v>74</v>
      </c>
      <c r="M74" s="19">
        <v>9.8000000000000007</v>
      </c>
      <c r="N74" s="19"/>
    </row>
    <row r="75" spans="1:14" x14ac:dyDescent="0.3">
      <c r="A75" s="4"/>
      <c r="B75" s="4"/>
      <c r="C75" s="4"/>
      <c r="D75" s="4"/>
      <c r="E75" s="19"/>
      <c r="F75" s="4"/>
      <c r="G75" s="4"/>
      <c r="H75" s="4"/>
      <c r="I75" s="4" t="s">
        <v>166</v>
      </c>
      <c r="J75" s="4" t="s">
        <v>167</v>
      </c>
      <c r="K75" s="4" t="s">
        <v>20</v>
      </c>
      <c r="L75" s="19">
        <v>75</v>
      </c>
      <c r="M75" s="19">
        <v>4.3</v>
      </c>
      <c r="N75" s="19"/>
    </row>
    <row r="76" spans="1:14" x14ac:dyDescent="0.3">
      <c r="A76" s="4"/>
      <c r="B76" s="4"/>
      <c r="C76" s="4"/>
      <c r="D76" s="4"/>
      <c r="E76" s="19"/>
      <c r="F76" s="4"/>
      <c r="G76" s="4"/>
      <c r="H76" s="4"/>
      <c r="I76" s="4" t="s">
        <v>168</v>
      </c>
      <c r="J76" s="4" t="s">
        <v>169</v>
      </c>
      <c r="K76" s="4" t="s">
        <v>20</v>
      </c>
      <c r="L76" s="19">
        <v>76</v>
      </c>
      <c r="M76" s="19">
        <v>12</v>
      </c>
      <c r="N76" s="19"/>
    </row>
    <row r="77" spans="1:14" x14ac:dyDescent="0.3">
      <c r="A77" s="4"/>
      <c r="B77" s="4"/>
      <c r="C77" s="4"/>
      <c r="D77" s="4"/>
      <c r="E77" s="19"/>
      <c r="F77" s="4"/>
      <c r="G77" s="4"/>
      <c r="H77" s="4"/>
      <c r="I77" s="4" t="s">
        <v>170</v>
      </c>
      <c r="J77" s="4" t="s">
        <v>171</v>
      </c>
      <c r="K77" s="4" t="s">
        <v>20</v>
      </c>
      <c r="L77" s="19">
        <v>77</v>
      </c>
      <c r="M77" s="19">
        <v>3.7</v>
      </c>
      <c r="N77" s="19"/>
    </row>
    <row r="78" spans="1:14" x14ac:dyDescent="0.3">
      <c r="A78" s="4"/>
      <c r="B78" s="4"/>
      <c r="C78" s="4"/>
      <c r="D78" s="4"/>
      <c r="E78" s="19"/>
      <c r="F78" s="4"/>
      <c r="G78" s="4"/>
      <c r="H78" s="4"/>
      <c r="I78" s="4" t="s">
        <v>172</v>
      </c>
      <c r="J78" s="4" t="s">
        <v>173</v>
      </c>
      <c r="K78" s="4" t="s">
        <v>20</v>
      </c>
      <c r="L78" s="19">
        <v>78</v>
      </c>
      <c r="M78" s="19">
        <v>1.6</v>
      </c>
      <c r="N78" s="19"/>
    </row>
    <row r="79" spans="1:14" x14ac:dyDescent="0.3">
      <c r="A79" s="4"/>
      <c r="B79" s="4"/>
      <c r="C79" s="4"/>
      <c r="D79" s="4"/>
      <c r="E79" s="19"/>
      <c r="F79" s="4"/>
      <c r="G79" s="4"/>
      <c r="H79" s="4"/>
      <c r="I79" s="4" t="s">
        <v>174</v>
      </c>
      <c r="J79" s="4" t="s">
        <v>175</v>
      </c>
      <c r="K79" s="4" t="s">
        <v>20</v>
      </c>
      <c r="L79" s="19">
        <v>79</v>
      </c>
      <c r="M79" s="19">
        <v>1</v>
      </c>
      <c r="N79" s="19"/>
    </row>
    <row r="80" spans="1:14" x14ac:dyDescent="0.3">
      <c r="A80" s="4"/>
      <c r="B80" s="4"/>
      <c r="C80" s="4"/>
      <c r="D80" s="4"/>
      <c r="E80" s="19"/>
      <c r="F80" s="4"/>
      <c r="G80" s="4"/>
      <c r="H80" s="4"/>
      <c r="I80" s="24" t="s">
        <v>176</v>
      </c>
      <c r="J80" s="20" t="s">
        <v>177</v>
      </c>
      <c r="K80" s="24" t="s">
        <v>20</v>
      </c>
      <c r="L80" s="7">
        <v>80</v>
      </c>
      <c r="M80" s="7"/>
      <c r="N80" s="7">
        <v>2</v>
      </c>
    </row>
    <row r="81" spans="1:14" x14ac:dyDescent="0.3">
      <c r="A81" s="4"/>
      <c r="B81" s="4"/>
      <c r="C81" s="4"/>
      <c r="D81" s="4"/>
      <c r="E81" s="19"/>
      <c r="F81" s="4"/>
      <c r="G81" s="4"/>
      <c r="H81" s="4"/>
      <c r="I81" s="4" t="s">
        <v>178</v>
      </c>
      <c r="J81" s="4" t="s">
        <v>179</v>
      </c>
      <c r="K81" s="4" t="s">
        <v>20</v>
      </c>
      <c r="L81" s="19">
        <v>81</v>
      </c>
      <c r="M81" s="19">
        <v>1.5</v>
      </c>
      <c r="N81" s="19"/>
    </row>
    <row r="82" spans="1:14" x14ac:dyDescent="0.3">
      <c r="A82" s="4"/>
      <c r="B82" s="4"/>
      <c r="C82" s="4"/>
      <c r="D82" s="4"/>
      <c r="E82" s="19"/>
      <c r="F82" s="4"/>
      <c r="G82" s="4"/>
      <c r="H82" s="4"/>
      <c r="I82" s="4" t="s">
        <v>180</v>
      </c>
      <c r="J82" s="4" t="s">
        <v>181</v>
      </c>
      <c r="K82" s="4" t="s">
        <v>20</v>
      </c>
      <c r="L82" s="19">
        <v>82</v>
      </c>
      <c r="M82" s="19">
        <v>1</v>
      </c>
      <c r="N82" s="19"/>
    </row>
    <row r="83" spans="1:14" x14ac:dyDescent="0.3">
      <c r="A83" s="4"/>
      <c r="B83" s="4"/>
      <c r="C83" s="4"/>
      <c r="D83" s="4"/>
      <c r="E83" s="19"/>
      <c r="F83" s="4"/>
      <c r="G83" s="4"/>
      <c r="H83" s="4"/>
      <c r="I83" s="4" t="s">
        <v>182</v>
      </c>
      <c r="J83" s="4" t="s">
        <v>183</v>
      </c>
      <c r="K83" s="4" t="s">
        <v>20</v>
      </c>
      <c r="L83" s="19">
        <v>83</v>
      </c>
      <c r="M83" s="19">
        <v>9.8000000000000007</v>
      </c>
      <c r="N83" s="19"/>
    </row>
    <row r="84" spans="1:14" x14ac:dyDescent="0.3">
      <c r="A84" s="4"/>
      <c r="B84" s="4"/>
      <c r="C84" s="4"/>
      <c r="D84" s="4"/>
      <c r="E84" s="19"/>
      <c r="F84" s="4"/>
      <c r="G84" s="4"/>
      <c r="H84" s="4"/>
      <c r="I84" s="4" t="s">
        <v>184</v>
      </c>
      <c r="J84" s="4" t="s">
        <v>185</v>
      </c>
      <c r="K84" s="4" t="s">
        <v>20</v>
      </c>
      <c r="L84" s="19">
        <v>84</v>
      </c>
      <c r="M84" s="19">
        <v>4.3</v>
      </c>
      <c r="N84" s="19"/>
    </row>
    <row r="85" spans="1:14" x14ac:dyDescent="0.3">
      <c r="A85" s="4"/>
      <c r="B85" s="4"/>
      <c r="C85" s="4"/>
      <c r="D85" s="4"/>
      <c r="E85" s="19"/>
      <c r="F85" s="4"/>
      <c r="G85" s="4"/>
      <c r="H85" s="4"/>
      <c r="I85" s="4" t="s">
        <v>186</v>
      </c>
      <c r="J85" s="4" t="s">
        <v>187</v>
      </c>
      <c r="K85" s="4" t="s">
        <v>20</v>
      </c>
      <c r="L85" s="19">
        <v>85</v>
      </c>
      <c r="M85" s="19">
        <v>4.4000000000000004</v>
      </c>
      <c r="N85" s="19"/>
    </row>
    <row r="86" spans="1:14" x14ac:dyDescent="0.3">
      <c r="A86" s="4"/>
      <c r="B86" s="4"/>
      <c r="C86" s="4"/>
      <c r="D86" s="4"/>
      <c r="E86" s="19"/>
      <c r="F86" s="4"/>
      <c r="G86" s="4"/>
      <c r="H86" s="4"/>
      <c r="I86" s="4" t="s">
        <v>188</v>
      </c>
      <c r="J86" s="4" t="s">
        <v>189</v>
      </c>
      <c r="K86" s="4" t="s">
        <v>20</v>
      </c>
      <c r="L86" s="19">
        <v>86</v>
      </c>
      <c r="M86" s="19">
        <v>1.4</v>
      </c>
      <c r="N86" s="19"/>
    </row>
    <row r="87" spans="1:14" x14ac:dyDescent="0.3">
      <c r="A87" s="4"/>
      <c r="B87" s="4"/>
      <c r="C87" s="4"/>
      <c r="D87" s="4"/>
      <c r="E87" s="19"/>
      <c r="F87" s="4"/>
      <c r="G87" s="4"/>
      <c r="H87" s="4"/>
      <c r="I87" s="4" t="s">
        <v>190</v>
      </c>
      <c r="J87" s="4" t="s">
        <v>191</v>
      </c>
      <c r="K87" s="4" t="s">
        <v>20</v>
      </c>
      <c r="L87" s="19">
        <v>87</v>
      </c>
      <c r="M87" s="19">
        <v>8.4</v>
      </c>
      <c r="N87" s="19"/>
    </row>
    <row r="88" spans="1:14" x14ac:dyDescent="0.3">
      <c r="A88" s="4"/>
      <c r="B88" s="4"/>
      <c r="C88" s="4"/>
      <c r="D88" s="4"/>
      <c r="E88" s="19"/>
      <c r="F88" s="4"/>
      <c r="G88" s="4"/>
      <c r="H88" s="4"/>
      <c r="I88" s="4" t="s">
        <v>192</v>
      </c>
      <c r="J88" s="4" t="s">
        <v>193</v>
      </c>
      <c r="K88" s="4" t="s">
        <v>20</v>
      </c>
      <c r="L88" s="19">
        <v>88</v>
      </c>
      <c r="M88" s="19">
        <v>4.0999999999999996</v>
      </c>
      <c r="N88" s="19"/>
    </row>
    <row r="89" spans="1:14" x14ac:dyDescent="0.3">
      <c r="A89" s="4"/>
      <c r="B89" s="4"/>
      <c r="C89" s="4"/>
      <c r="D89" s="4"/>
      <c r="E89" s="19"/>
      <c r="F89" s="4"/>
      <c r="G89" s="4"/>
      <c r="H89" s="4"/>
      <c r="I89" s="4" t="s">
        <v>194</v>
      </c>
      <c r="J89" s="4" t="s">
        <v>195</v>
      </c>
      <c r="K89" s="4" t="s">
        <v>20</v>
      </c>
      <c r="L89" s="19">
        <v>89</v>
      </c>
      <c r="M89" s="19">
        <v>2.1</v>
      </c>
      <c r="N89" s="19"/>
    </row>
    <row r="90" spans="1:14" x14ac:dyDescent="0.3">
      <c r="A90" s="4"/>
      <c r="B90" s="4"/>
      <c r="C90" s="4"/>
      <c r="D90" s="4"/>
      <c r="E90" s="19"/>
      <c r="F90" s="4"/>
      <c r="G90" s="4"/>
      <c r="H90" s="4"/>
      <c r="I90" s="4" t="s">
        <v>196</v>
      </c>
      <c r="J90" s="4" t="s">
        <v>197</v>
      </c>
      <c r="K90" s="4" t="s">
        <v>20</v>
      </c>
      <c r="L90" s="19">
        <v>90</v>
      </c>
      <c r="M90" s="19">
        <v>8.4</v>
      </c>
      <c r="N90" s="19"/>
    </row>
    <row r="91" spans="1:14" x14ac:dyDescent="0.3">
      <c r="A91" s="4"/>
      <c r="B91" s="4"/>
      <c r="C91" s="4"/>
      <c r="D91" s="4"/>
      <c r="E91" s="19"/>
      <c r="F91" s="4"/>
      <c r="G91" s="4"/>
      <c r="H91" s="4"/>
      <c r="I91" s="4" t="s">
        <v>198</v>
      </c>
      <c r="J91" s="4" t="s">
        <v>199</v>
      </c>
      <c r="K91" s="4" t="s">
        <v>20</v>
      </c>
      <c r="L91" s="19">
        <v>91</v>
      </c>
      <c r="M91" s="19">
        <v>4.0999999999999996</v>
      </c>
      <c r="N91" s="19"/>
    </row>
    <row r="92" spans="1:14" x14ac:dyDescent="0.3">
      <c r="A92" s="4"/>
      <c r="B92" s="4"/>
      <c r="C92" s="4"/>
      <c r="D92" s="4"/>
      <c r="E92" s="19"/>
      <c r="F92" s="4"/>
      <c r="G92" s="4"/>
      <c r="H92" s="4"/>
      <c r="I92" s="4" t="s">
        <v>200</v>
      </c>
      <c r="J92" s="4" t="s">
        <v>201</v>
      </c>
      <c r="K92" s="4" t="s">
        <v>20</v>
      </c>
      <c r="L92" s="19">
        <v>92</v>
      </c>
      <c r="M92" s="19">
        <v>2.1</v>
      </c>
      <c r="N92" s="19"/>
    </row>
    <row r="93" spans="1:14" x14ac:dyDescent="0.3">
      <c r="A93" s="4"/>
      <c r="B93" s="4"/>
      <c r="C93" s="4"/>
      <c r="D93" s="4"/>
      <c r="E93" s="19"/>
      <c r="F93" s="4"/>
      <c r="G93" s="4"/>
      <c r="H93" s="4"/>
      <c r="I93" s="4" t="s">
        <v>202</v>
      </c>
      <c r="J93" s="4" t="s">
        <v>203</v>
      </c>
      <c r="K93" s="4" t="s">
        <v>20</v>
      </c>
      <c r="L93" s="19">
        <v>93</v>
      </c>
      <c r="M93" s="19"/>
      <c r="N93" s="19">
        <v>550</v>
      </c>
    </row>
    <row r="94" spans="1:14" x14ac:dyDescent="0.3">
      <c r="A94" s="4"/>
      <c r="B94" s="4"/>
      <c r="C94" s="4"/>
      <c r="D94" s="4"/>
      <c r="E94" s="19"/>
      <c r="F94" s="4"/>
      <c r="G94" s="4"/>
      <c r="H94" s="4"/>
      <c r="I94" s="4" t="s">
        <v>204</v>
      </c>
      <c r="J94" s="4" t="s">
        <v>205</v>
      </c>
      <c r="K94" s="4" t="s">
        <v>20</v>
      </c>
      <c r="L94" s="19">
        <v>94</v>
      </c>
      <c r="M94" s="19"/>
      <c r="N94" s="19">
        <v>360</v>
      </c>
    </row>
    <row r="95" spans="1:14" x14ac:dyDescent="0.3">
      <c r="A95" s="4"/>
      <c r="B95" s="4"/>
      <c r="C95" s="4"/>
      <c r="D95" s="4"/>
      <c r="E95" s="19"/>
      <c r="F95" s="4"/>
      <c r="G95" s="4"/>
      <c r="H95" s="4"/>
      <c r="I95" s="4" t="s">
        <v>206</v>
      </c>
      <c r="J95" s="4" t="s">
        <v>207</v>
      </c>
      <c r="K95" s="4" t="s">
        <v>20</v>
      </c>
      <c r="L95" s="21">
        <v>95</v>
      </c>
      <c r="M95" s="19">
        <v>3</v>
      </c>
      <c r="N95" s="19"/>
    </row>
    <row r="96" spans="1:14" x14ac:dyDescent="0.3">
      <c r="A96" s="4"/>
      <c r="B96" s="4"/>
      <c r="C96" s="4"/>
      <c r="D96" s="4"/>
      <c r="E96" s="19"/>
      <c r="F96" s="4"/>
      <c r="G96" s="4"/>
      <c r="H96" s="4"/>
      <c r="I96" s="20" t="s">
        <v>208</v>
      </c>
      <c r="J96" s="20" t="s">
        <v>209</v>
      </c>
      <c r="K96" s="20" t="s">
        <v>20</v>
      </c>
      <c r="L96" s="7">
        <v>96</v>
      </c>
      <c r="M96" s="7"/>
      <c r="N96" s="7">
        <v>2</v>
      </c>
    </row>
    <row r="97" spans="1:14" x14ac:dyDescent="0.3">
      <c r="A97" s="4"/>
      <c r="B97" s="4"/>
      <c r="C97" s="4"/>
      <c r="D97" s="4"/>
      <c r="E97" s="19"/>
      <c r="F97" s="4"/>
      <c r="G97" s="4"/>
      <c r="H97" s="4"/>
      <c r="I97" s="4" t="s">
        <v>210</v>
      </c>
      <c r="J97" s="4" t="s">
        <v>211</v>
      </c>
      <c r="K97" s="4" t="s">
        <v>20</v>
      </c>
      <c r="L97" s="21">
        <v>97</v>
      </c>
      <c r="M97" s="19"/>
      <c r="N97" s="19">
        <v>1000</v>
      </c>
    </row>
    <row r="98" spans="1:14" x14ac:dyDescent="0.3">
      <c r="A98" s="4"/>
      <c r="B98" s="4"/>
      <c r="C98" s="4"/>
      <c r="D98" s="4"/>
      <c r="E98" s="19"/>
      <c r="F98" s="4"/>
      <c r="G98" s="4"/>
      <c r="H98" s="4"/>
      <c r="I98" s="4" t="s">
        <v>212</v>
      </c>
      <c r="J98" s="4" t="s">
        <v>213</v>
      </c>
      <c r="K98" s="4" t="s">
        <v>20</v>
      </c>
      <c r="L98" s="21">
        <v>98</v>
      </c>
      <c r="M98" s="19"/>
      <c r="N98" s="19">
        <v>1000</v>
      </c>
    </row>
    <row r="99" spans="1:14" x14ac:dyDescent="0.3">
      <c r="A99" s="4"/>
      <c r="B99" s="4"/>
      <c r="C99" s="4"/>
      <c r="D99" s="4"/>
      <c r="E99" s="19"/>
      <c r="F99" s="4"/>
      <c r="G99" s="4"/>
      <c r="H99" s="4"/>
      <c r="I99" s="4" t="s">
        <v>214</v>
      </c>
      <c r="J99" s="4" t="s">
        <v>383</v>
      </c>
      <c r="K99" s="4" t="s">
        <v>20</v>
      </c>
      <c r="L99" s="19">
        <v>99</v>
      </c>
      <c r="M99" s="19">
        <v>4</v>
      </c>
      <c r="N99" s="19"/>
    </row>
    <row r="100" spans="1:14" x14ac:dyDescent="0.3">
      <c r="A100" s="4"/>
      <c r="B100" s="4"/>
      <c r="C100" s="4"/>
      <c r="D100" s="4"/>
      <c r="E100" s="19"/>
      <c r="F100" s="4"/>
      <c r="G100" s="4"/>
      <c r="H100" s="4"/>
      <c r="I100" s="4" t="s">
        <v>215</v>
      </c>
      <c r="J100" s="4" t="s">
        <v>384</v>
      </c>
      <c r="K100" s="4" t="s">
        <v>20</v>
      </c>
      <c r="L100" s="19">
        <v>100</v>
      </c>
      <c r="M100" s="19">
        <v>4</v>
      </c>
      <c r="N100" s="19"/>
    </row>
    <row r="101" spans="1:14" x14ac:dyDescent="0.3">
      <c r="A101" s="4"/>
      <c r="B101" s="4"/>
      <c r="C101" s="4"/>
      <c r="D101" s="4"/>
      <c r="E101" s="19"/>
      <c r="F101" s="4"/>
      <c r="G101" s="4"/>
      <c r="H101" s="4"/>
      <c r="I101" s="4" t="s">
        <v>216</v>
      </c>
      <c r="J101" s="4" t="s">
        <v>385</v>
      </c>
      <c r="K101" s="4" t="s">
        <v>20</v>
      </c>
      <c r="L101" s="19">
        <v>101</v>
      </c>
      <c r="M101" s="19">
        <v>4</v>
      </c>
      <c r="N101" s="19"/>
    </row>
    <row r="102" spans="1:14" x14ac:dyDescent="0.3">
      <c r="A102" s="4"/>
      <c r="B102" s="4"/>
      <c r="C102" s="4"/>
      <c r="D102" s="4"/>
      <c r="E102" s="19"/>
      <c r="F102" s="4"/>
      <c r="G102" s="4"/>
      <c r="H102" s="4"/>
      <c r="I102" s="4" t="s">
        <v>217</v>
      </c>
      <c r="J102" s="4" t="s">
        <v>386</v>
      </c>
      <c r="K102" s="4" t="s">
        <v>20</v>
      </c>
      <c r="L102" s="19">
        <v>102</v>
      </c>
      <c r="M102" s="19">
        <v>4</v>
      </c>
      <c r="N102" s="19"/>
    </row>
    <row r="103" spans="1:14" x14ac:dyDescent="0.3">
      <c r="A103" s="4"/>
      <c r="B103" s="4"/>
      <c r="C103" s="4"/>
      <c r="D103" s="4"/>
      <c r="E103" s="19"/>
      <c r="F103" s="4"/>
      <c r="G103" s="4"/>
      <c r="H103" s="4"/>
      <c r="I103" s="4" t="s">
        <v>218</v>
      </c>
      <c r="J103" s="4" t="s">
        <v>219</v>
      </c>
      <c r="K103" s="4" t="s">
        <v>20</v>
      </c>
      <c r="L103" s="19">
        <v>103</v>
      </c>
      <c r="M103" s="19">
        <v>1</v>
      </c>
      <c r="N103" s="19"/>
    </row>
    <row r="104" spans="1:14" x14ac:dyDescent="0.3">
      <c r="A104" s="4"/>
      <c r="B104" s="4"/>
      <c r="C104" s="4"/>
      <c r="D104" s="4"/>
      <c r="E104" s="19"/>
      <c r="F104" s="4"/>
      <c r="G104" s="4"/>
      <c r="H104" s="4"/>
      <c r="I104" s="4" t="s">
        <v>220</v>
      </c>
      <c r="J104" s="4" t="s">
        <v>221</v>
      </c>
      <c r="K104" s="4" t="s">
        <v>20</v>
      </c>
      <c r="L104" s="29">
        <v>104</v>
      </c>
      <c r="M104" s="29">
        <v>1</v>
      </c>
      <c r="N104" s="29"/>
    </row>
    <row r="105" spans="1:14" x14ac:dyDescent="0.3">
      <c r="A105" s="4"/>
      <c r="B105" s="4"/>
      <c r="C105" s="4"/>
      <c r="D105" s="4"/>
      <c r="E105" s="19"/>
      <c r="F105" s="4"/>
      <c r="G105" s="4"/>
      <c r="H105" s="4"/>
      <c r="I105" s="4" t="s">
        <v>415</v>
      </c>
      <c r="J105" s="4" t="s">
        <v>412</v>
      </c>
      <c r="K105" s="4" t="s">
        <v>20</v>
      </c>
      <c r="L105" s="29">
        <v>105</v>
      </c>
      <c r="M105" s="29">
        <v>4</v>
      </c>
      <c r="N105" s="29"/>
    </row>
    <row r="106" spans="1:14" x14ac:dyDescent="0.3">
      <c r="A106" s="4"/>
      <c r="B106" s="4"/>
      <c r="C106" s="4"/>
      <c r="D106" s="4"/>
      <c r="E106" s="19"/>
      <c r="F106" s="4"/>
      <c r="G106" s="4"/>
      <c r="H106" s="4"/>
      <c r="I106" s="4" t="s">
        <v>416</v>
      </c>
      <c r="J106" s="4" t="s">
        <v>413</v>
      </c>
      <c r="K106" s="4" t="s">
        <v>20</v>
      </c>
      <c r="L106" s="19">
        <v>106</v>
      </c>
      <c r="M106" s="19">
        <v>4</v>
      </c>
      <c r="N106" s="4"/>
    </row>
    <row r="107" spans="1:14" x14ac:dyDescent="0.3">
      <c r="A107" s="4"/>
      <c r="B107" s="4"/>
      <c r="C107" s="4"/>
      <c r="D107" s="4"/>
      <c r="E107" s="19"/>
      <c r="F107" s="4"/>
      <c r="G107" s="4"/>
      <c r="H107" s="4"/>
      <c r="I107" s="4" t="s">
        <v>417</v>
      </c>
      <c r="J107" s="4" t="s">
        <v>414</v>
      </c>
      <c r="K107" s="4" t="s">
        <v>20</v>
      </c>
      <c r="L107" s="19">
        <v>107</v>
      </c>
      <c r="M107" s="19">
        <v>4</v>
      </c>
      <c r="N107" s="4"/>
    </row>
    <row r="108" spans="1:14" x14ac:dyDescent="0.3">
      <c r="A108" s="4"/>
      <c r="B108" s="4"/>
      <c r="C108" s="4"/>
      <c r="D108" s="4"/>
      <c r="E108" s="19"/>
      <c r="F108" s="4"/>
      <c r="G108" s="4"/>
      <c r="H108" s="4"/>
      <c r="I108" s="4" t="s">
        <v>436</v>
      </c>
      <c r="J108" s="4" t="s">
        <v>434</v>
      </c>
      <c r="K108" s="4" t="s">
        <v>20</v>
      </c>
      <c r="L108" s="19">
        <v>108</v>
      </c>
      <c r="M108" s="19">
        <v>7</v>
      </c>
      <c r="N108" s="4"/>
    </row>
    <row r="109" spans="1:14" x14ac:dyDescent="0.3">
      <c r="A109" s="4"/>
      <c r="B109" s="4"/>
      <c r="C109" s="4"/>
      <c r="D109" s="4"/>
      <c r="E109" s="19"/>
      <c r="F109" s="4"/>
      <c r="G109" s="4"/>
      <c r="H109" s="4"/>
      <c r="I109" s="4" t="s">
        <v>437</v>
      </c>
      <c r="J109" s="4" t="s">
        <v>435</v>
      </c>
      <c r="K109" s="4" t="s">
        <v>20</v>
      </c>
      <c r="L109" s="19">
        <v>109</v>
      </c>
      <c r="M109" s="19">
        <v>7</v>
      </c>
      <c r="N109" s="4"/>
    </row>
    <row r="110" spans="1:14" ht="12.5" thickBot="1" x14ac:dyDescent="0.35">
      <c r="A110" s="4"/>
      <c r="B110" s="4"/>
      <c r="C110" s="4"/>
      <c r="D110" s="4"/>
      <c r="E110" s="19"/>
      <c r="F110" s="4"/>
      <c r="G110" s="4"/>
      <c r="H110" s="4"/>
      <c r="I110" s="4"/>
      <c r="J110" s="4"/>
      <c r="K110" s="35"/>
      <c r="L110" s="44"/>
      <c r="M110" s="31"/>
      <c r="N110" s="4"/>
    </row>
    <row r="111" spans="1:14" ht="14.5" x14ac:dyDescent="0.35">
      <c r="A111" s="4"/>
      <c r="B111" s="4"/>
      <c r="C111" s="4"/>
      <c r="D111" s="4"/>
      <c r="E111" s="19"/>
      <c r="F111" s="4"/>
      <c r="G111" s="4"/>
      <c r="H111" s="4"/>
      <c r="I111" s="4"/>
      <c r="J111" s="4"/>
      <c r="K111" s="35"/>
      <c r="L111" s="36"/>
      <c r="M111" s="37">
        <f>SUM(M5:M109)</f>
        <v>313.70000000000005</v>
      </c>
      <c r="N111" s="38">
        <f>ROUND(SUM(N5:N102)/1024,2)</f>
        <v>11.71</v>
      </c>
    </row>
    <row r="112" spans="1:14" ht="15" thickBot="1" x14ac:dyDescent="0.4">
      <c r="A112" s="4"/>
      <c r="B112" s="4"/>
      <c r="C112" s="4"/>
      <c r="D112" s="4"/>
      <c r="E112" s="19"/>
      <c r="F112" s="4"/>
      <c r="G112" s="4"/>
      <c r="H112" s="4"/>
      <c r="I112" s="4"/>
      <c r="J112" s="4"/>
      <c r="K112" s="35"/>
      <c r="L112" s="39" t="s">
        <v>222</v>
      </c>
      <c r="M112" s="40" t="str">
        <f>SUM(M111:N111)&amp; " TB_Approx"</f>
        <v>325.41 TB_Approx</v>
      </c>
      <c r="N112" s="41"/>
    </row>
    <row r="113" spans="1:14" x14ac:dyDescent="0.3">
      <c r="A113" s="4"/>
      <c r="B113" s="4"/>
      <c r="C113" s="4"/>
      <c r="D113" s="4"/>
      <c r="E113" s="19"/>
      <c r="F113" s="4"/>
      <c r="G113" s="4"/>
      <c r="H113" s="4"/>
      <c r="I113" s="4"/>
      <c r="J113" s="4"/>
      <c r="K113" s="4"/>
      <c r="L113" s="31"/>
      <c r="M113" s="31"/>
      <c r="N113" s="30"/>
    </row>
    <row r="114" spans="1:14" x14ac:dyDescent="0.3">
      <c r="A114" s="4"/>
      <c r="B114" s="4"/>
      <c r="C114" s="4"/>
      <c r="D114" s="4"/>
      <c r="E114" s="19"/>
      <c r="F114" s="4"/>
      <c r="G114" s="4"/>
      <c r="H114" s="4"/>
      <c r="I114" s="4"/>
      <c r="J114" s="4"/>
      <c r="K114" s="4"/>
      <c r="L114" s="21"/>
      <c r="M114" s="21"/>
      <c r="N114" s="19"/>
    </row>
    <row r="115" spans="1:14" ht="12" customHeight="1" x14ac:dyDescent="0.3">
      <c r="A115" s="48">
        <v>2</v>
      </c>
      <c r="B115" s="46" t="s">
        <v>223</v>
      </c>
      <c r="C115" s="4" t="s">
        <v>224</v>
      </c>
      <c r="D115" s="4" t="s">
        <v>225</v>
      </c>
      <c r="E115" s="4" t="s">
        <v>226</v>
      </c>
      <c r="F115" s="17" t="s">
        <v>16</v>
      </c>
      <c r="G115" s="18" t="s">
        <v>17</v>
      </c>
      <c r="H115" s="4" t="s">
        <v>18</v>
      </c>
      <c r="I115" s="4" t="s">
        <v>227</v>
      </c>
      <c r="J115" s="4" t="s">
        <v>228</v>
      </c>
      <c r="K115" s="4" t="s">
        <v>229</v>
      </c>
      <c r="L115" s="21">
        <v>1</v>
      </c>
      <c r="M115" s="21">
        <v>1</v>
      </c>
      <c r="N115" s="19"/>
    </row>
    <row r="116" spans="1:14" ht="12" customHeight="1" x14ac:dyDescent="0.3">
      <c r="A116" s="49"/>
      <c r="B116" s="47"/>
      <c r="C116" s="4" t="s">
        <v>224</v>
      </c>
      <c r="D116" s="4" t="s">
        <v>230</v>
      </c>
      <c r="E116" s="4" t="s">
        <v>231</v>
      </c>
      <c r="F116" s="17" t="s">
        <v>16</v>
      </c>
      <c r="G116" s="18" t="s">
        <v>22</v>
      </c>
      <c r="H116" s="4" t="s">
        <v>23</v>
      </c>
      <c r="I116" s="4" t="s">
        <v>232</v>
      </c>
      <c r="J116" s="4" t="s">
        <v>233</v>
      </c>
      <c r="K116" s="4" t="s">
        <v>229</v>
      </c>
      <c r="L116" s="21">
        <v>2</v>
      </c>
      <c r="M116" s="21">
        <v>4</v>
      </c>
      <c r="N116" s="19"/>
    </row>
    <row r="117" spans="1:14" ht="12" customHeight="1" x14ac:dyDescent="0.3">
      <c r="A117" s="49"/>
      <c r="B117" s="47"/>
      <c r="C117" s="4" t="s">
        <v>234</v>
      </c>
      <c r="D117" s="4" t="s">
        <v>235</v>
      </c>
      <c r="E117" s="4" t="s">
        <v>236</v>
      </c>
      <c r="F117" s="17" t="s">
        <v>16</v>
      </c>
      <c r="G117" s="18" t="s">
        <v>17</v>
      </c>
      <c r="H117" s="4" t="s">
        <v>18</v>
      </c>
      <c r="I117" s="4" t="s">
        <v>237</v>
      </c>
      <c r="J117" s="4" t="s">
        <v>238</v>
      </c>
      <c r="K117" s="4" t="s">
        <v>229</v>
      </c>
      <c r="L117" s="21">
        <v>3</v>
      </c>
      <c r="M117" s="21">
        <v>4</v>
      </c>
      <c r="N117" s="19"/>
    </row>
    <row r="118" spans="1:14" ht="12" customHeight="1" x14ac:dyDescent="0.3">
      <c r="A118" s="49"/>
      <c r="B118" s="47"/>
      <c r="C118" s="4" t="s">
        <v>234</v>
      </c>
      <c r="D118" s="4" t="s">
        <v>239</v>
      </c>
      <c r="E118" s="4" t="s">
        <v>240</v>
      </c>
      <c r="F118" s="17" t="s">
        <v>16</v>
      </c>
      <c r="G118" s="18" t="s">
        <v>22</v>
      </c>
      <c r="H118" s="4" t="s">
        <v>23</v>
      </c>
      <c r="I118" s="20" t="s">
        <v>241</v>
      </c>
      <c r="J118" s="20" t="s">
        <v>242</v>
      </c>
      <c r="K118" s="20" t="s">
        <v>229</v>
      </c>
      <c r="L118" s="7">
        <v>4</v>
      </c>
      <c r="M118" s="20"/>
      <c r="N118" s="7">
        <v>200</v>
      </c>
    </row>
    <row r="119" spans="1:14" ht="12" customHeight="1" x14ac:dyDescent="0.3">
      <c r="A119" s="49"/>
      <c r="B119" s="47"/>
      <c r="C119" s="4" t="s">
        <v>243</v>
      </c>
      <c r="D119" s="4" t="s">
        <v>244</v>
      </c>
      <c r="E119" s="4" t="s">
        <v>245</v>
      </c>
      <c r="F119" s="17" t="s">
        <v>16</v>
      </c>
      <c r="G119" s="18" t="s">
        <v>17</v>
      </c>
      <c r="H119" s="4" t="s">
        <v>18</v>
      </c>
      <c r="I119" s="4" t="s">
        <v>246</v>
      </c>
      <c r="J119" s="26" t="s">
        <v>247</v>
      </c>
      <c r="K119" s="4" t="s">
        <v>229</v>
      </c>
      <c r="L119" s="21">
        <v>5</v>
      </c>
      <c r="M119" s="21">
        <v>1</v>
      </c>
      <c r="N119" s="19"/>
    </row>
    <row r="120" spans="1:14" ht="12" customHeight="1" x14ac:dyDescent="0.3">
      <c r="A120" s="49"/>
      <c r="B120" s="47"/>
      <c r="C120" s="4" t="s">
        <v>243</v>
      </c>
      <c r="D120" s="4" t="s">
        <v>248</v>
      </c>
      <c r="E120" s="4" t="s">
        <v>249</v>
      </c>
      <c r="F120" s="17" t="s">
        <v>16</v>
      </c>
      <c r="G120" s="18" t="s">
        <v>22</v>
      </c>
      <c r="H120" s="4" t="s">
        <v>23</v>
      </c>
      <c r="I120" s="4" t="s">
        <v>250</v>
      </c>
      <c r="J120" s="26" t="s">
        <v>251</v>
      </c>
      <c r="K120" s="4" t="s">
        <v>229</v>
      </c>
      <c r="L120" s="21">
        <v>6</v>
      </c>
      <c r="M120" s="21">
        <v>2</v>
      </c>
      <c r="N120" s="19"/>
    </row>
    <row r="121" spans="1:14" ht="12" customHeight="1" x14ac:dyDescent="0.3">
      <c r="A121" s="49"/>
      <c r="B121" s="47"/>
      <c r="C121" s="4" t="s">
        <v>252</v>
      </c>
      <c r="D121" s="4" t="s">
        <v>253</v>
      </c>
      <c r="E121" s="4"/>
      <c r="F121" s="4"/>
      <c r="G121" s="4"/>
      <c r="H121" s="4"/>
      <c r="I121" s="4" t="s">
        <v>254</v>
      </c>
      <c r="J121" s="26" t="s">
        <v>255</v>
      </c>
      <c r="K121" s="4" t="s">
        <v>229</v>
      </c>
      <c r="L121" s="21">
        <v>7</v>
      </c>
      <c r="M121" s="21">
        <v>2</v>
      </c>
      <c r="N121" s="19"/>
    </row>
    <row r="122" spans="1:14" ht="12" customHeight="1" x14ac:dyDescent="0.3">
      <c r="A122" s="49"/>
      <c r="B122" s="47"/>
      <c r="C122" s="4" t="s">
        <v>252</v>
      </c>
      <c r="D122" s="4" t="s">
        <v>256</v>
      </c>
      <c r="E122" s="4"/>
      <c r="F122" s="4"/>
      <c r="G122" s="4"/>
      <c r="H122" s="4"/>
      <c r="I122" s="4" t="s">
        <v>257</v>
      </c>
      <c r="J122" s="26" t="s">
        <v>258</v>
      </c>
      <c r="K122" s="4" t="s">
        <v>229</v>
      </c>
      <c r="L122" s="21">
        <v>8</v>
      </c>
      <c r="M122" s="21">
        <v>2</v>
      </c>
      <c r="N122" s="19"/>
    </row>
    <row r="123" spans="1:14" ht="12" customHeight="1" x14ac:dyDescent="0.3">
      <c r="A123" s="49"/>
      <c r="B123" s="47"/>
      <c r="C123" s="4" t="s">
        <v>259</v>
      </c>
      <c r="D123" s="4" t="s">
        <v>260</v>
      </c>
      <c r="E123" s="4"/>
      <c r="F123" s="4"/>
      <c r="G123" s="4"/>
      <c r="H123" s="4"/>
      <c r="I123" s="27" t="s">
        <v>261</v>
      </c>
      <c r="J123" s="27" t="s">
        <v>262</v>
      </c>
      <c r="K123" s="27" t="s">
        <v>229</v>
      </c>
      <c r="L123" s="43">
        <v>9</v>
      </c>
      <c r="M123" s="27"/>
      <c r="N123" s="43">
        <v>300</v>
      </c>
    </row>
    <row r="124" spans="1:14" ht="12" customHeight="1" x14ac:dyDescent="0.3">
      <c r="A124" s="49"/>
      <c r="B124" s="47"/>
      <c r="C124" s="4" t="s">
        <v>259</v>
      </c>
      <c r="D124" s="4" t="s">
        <v>263</v>
      </c>
      <c r="E124" s="4"/>
      <c r="F124" s="4"/>
      <c r="G124" s="4"/>
      <c r="H124" s="4"/>
      <c r="I124" s="25" t="s">
        <v>264</v>
      </c>
      <c r="J124" s="25" t="s">
        <v>265</v>
      </c>
      <c r="K124" s="25" t="s">
        <v>229</v>
      </c>
      <c r="L124" s="42">
        <v>16</v>
      </c>
      <c r="M124" s="42">
        <v>4</v>
      </c>
      <c r="N124" s="25"/>
    </row>
    <row r="125" spans="1:14" ht="12" customHeight="1" x14ac:dyDescent="0.3">
      <c r="A125" s="49"/>
      <c r="B125" s="47"/>
      <c r="C125" s="4" t="s">
        <v>420</v>
      </c>
      <c r="D125" s="4" t="s">
        <v>421</v>
      </c>
      <c r="E125" s="4"/>
      <c r="F125" s="4"/>
      <c r="G125" s="4"/>
      <c r="H125" s="4"/>
      <c r="I125" s="4" t="s">
        <v>266</v>
      </c>
      <c r="J125" s="26" t="s">
        <v>267</v>
      </c>
      <c r="K125" s="4" t="s">
        <v>229</v>
      </c>
      <c r="L125" s="21">
        <v>21</v>
      </c>
      <c r="M125" s="21">
        <v>4</v>
      </c>
      <c r="N125" s="19"/>
    </row>
    <row r="126" spans="1:14" ht="12" customHeight="1" x14ac:dyDescent="0.3">
      <c r="A126" s="49"/>
      <c r="B126" s="47"/>
      <c r="C126" s="4" t="s">
        <v>420</v>
      </c>
      <c r="D126" s="4" t="s">
        <v>422</v>
      </c>
      <c r="E126" s="4"/>
      <c r="F126" s="4"/>
      <c r="G126" s="4"/>
      <c r="H126" s="4"/>
      <c r="I126" s="4" t="s">
        <v>268</v>
      </c>
      <c r="J126" s="26" t="s">
        <v>269</v>
      </c>
      <c r="K126" s="4" t="s">
        <v>229</v>
      </c>
      <c r="L126" s="21">
        <v>22</v>
      </c>
      <c r="M126" s="21">
        <v>1</v>
      </c>
      <c r="N126" s="19"/>
    </row>
    <row r="127" spans="1:14" x14ac:dyDescent="0.3">
      <c r="A127" s="49"/>
      <c r="B127" s="47"/>
      <c r="C127" s="4" t="s">
        <v>423</v>
      </c>
      <c r="D127" s="4" t="s">
        <v>424</v>
      </c>
      <c r="E127" s="4"/>
      <c r="F127" s="4"/>
      <c r="G127" s="4"/>
      <c r="H127" s="4"/>
      <c r="I127" s="4" t="s">
        <v>270</v>
      </c>
      <c r="J127" s="26" t="s">
        <v>271</v>
      </c>
      <c r="K127" s="4" t="s">
        <v>229</v>
      </c>
      <c r="L127" s="21">
        <v>23</v>
      </c>
      <c r="M127" s="21">
        <v>5</v>
      </c>
      <c r="N127" s="19"/>
    </row>
    <row r="128" spans="1:14" x14ac:dyDescent="0.3">
      <c r="A128" s="49"/>
      <c r="B128" s="47"/>
      <c r="C128" s="4" t="s">
        <v>423</v>
      </c>
      <c r="D128" s="4" t="s">
        <v>425</v>
      </c>
      <c r="E128" s="4"/>
      <c r="F128" s="4"/>
      <c r="G128" s="4"/>
      <c r="H128" s="4"/>
      <c r="I128" s="4" t="s">
        <v>272</v>
      </c>
      <c r="J128" s="26" t="s">
        <v>438</v>
      </c>
      <c r="K128" s="4" t="s">
        <v>229</v>
      </c>
      <c r="L128" s="21">
        <v>24</v>
      </c>
      <c r="M128" s="21">
        <v>1.1000000000000001</v>
      </c>
      <c r="N128" s="19"/>
    </row>
    <row r="129" spans="1:14" x14ac:dyDescent="0.3">
      <c r="A129" s="49"/>
      <c r="B129" s="47"/>
      <c r="C129" s="4" t="s">
        <v>426</v>
      </c>
      <c r="D129" s="4" t="s">
        <v>427</v>
      </c>
      <c r="E129" s="4"/>
      <c r="F129" s="4"/>
      <c r="G129" s="4"/>
      <c r="H129" s="4"/>
      <c r="I129" s="4" t="s">
        <v>273</v>
      </c>
      <c r="J129" s="26" t="s">
        <v>274</v>
      </c>
      <c r="K129" s="4" t="s">
        <v>229</v>
      </c>
      <c r="L129" s="21">
        <v>26</v>
      </c>
      <c r="M129" s="21"/>
      <c r="N129" s="21">
        <v>200</v>
      </c>
    </row>
    <row r="130" spans="1:14" x14ac:dyDescent="0.3">
      <c r="A130" s="49"/>
      <c r="B130" s="47"/>
      <c r="C130" s="4" t="s">
        <v>426</v>
      </c>
      <c r="D130" s="4" t="s">
        <v>428</v>
      </c>
      <c r="E130" s="4"/>
      <c r="F130" s="4"/>
      <c r="G130" s="4"/>
      <c r="H130" s="4"/>
      <c r="I130" s="4" t="s">
        <v>275</v>
      </c>
      <c r="J130" s="26" t="s">
        <v>276</v>
      </c>
      <c r="K130" s="4" t="s">
        <v>229</v>
      </c>
      <c r="L130" s="21">
        <v>27</v>
      </c>
      <c r="M130" s="21"/>
      <c r="N130" s="21">
        <v>500</v>
      </c>
    </row>
    <row r="131" spans="1:14" x14ac:dyDescent="0.3">
      <c r="A131" s="49"/>
      <c r="B131" s="47"/>
      <c r="C131" s="4" t="s">
        <v>429</v>
      </c>
      <c r="D131" s="4" t="s">
        <v>430</v>
      </c>
      <c r="E131" s="4"/>
      <c r="F131" s="4"/>
      <c r="G131" s="4"/>
      <c r="H131" s="4"/>
      <c r="I131" s="4" t="s">
        <v>277</v>
      </c>
      <c r="J131" s="26" t="s">
        <v>278</v>
      </c>
      <c r="K131" s="4" t="s">
        <v>229</v>
      </c>
      <c r="L131" s="21">
        <v>28</v>
      </c>
      <c r="M131" s="21"/>
      <c r="N131" s="21">
        <v>500</v>
      </c>
    </row>
    <row r="132" spans="1:14" x14ac:dyDescent="0.3">
      <c r="A132" s="53"/>
      <c r="B132" s="52"/>
      <c r="C132" s="4" t="s">
        <v>429</v>
      </c>
      <c r="D132" s="4" t="s">
        <v>431</v>
      </c>
      <c r="E132" s="4"/>
      <c r="F132" s="4"/>
      <c r="G132" s="4"/>
      <c r="H132" s="4"/>
      <c r="I132" s="4" t="s">
        <v>279</v>
      </c>
      <c r="J132" s="26" t="s">
        <v>280</v>
      </c>
      <c r="K132" s="4" t="s">
        <v>229</v>
      </c>
      <c r="L132" s="21">
        <v>29</v>
      </c>
      <c r="M132" s="21">
        <v>2.6</v>
      </c>
      <c r="N132" s="19"/>
    </row>
    <row r="133" spans="1:14" x14ac:dyDescent="0.3">
      <c r="A133" s="4"/>
      <c r="B133" s="4"/>
      <c r="C133" s="4"/>
      <c r="D133" s="4"/>
      <c r="E133" s="4"/>
      <c r="F133" s="4"/>
      <c r="G133" s="4"/>
      <c r="H133" s="4"/>
      <c r="I133" s="4" t="s">
        <v>281</v>
      </c>
      <c r="J133" s="26" t="s">
        <v>282</v>
      </c>
      <c r="K133" s="4" t="s">
        <v>229</v>
      </c>
      <c r="L133" s="21">
        <v>32</v>
      </c>
      <c r="M133" s="21"/>
      <c r="N133" s="21">
        <v>300</v>
      </c>
    </row>
    <row r="134" spans="1:14" x14ac:dyDescent="0.3">
      <c r="A134" s="4"/>
      <c r="B134" s="4"/>
      <c r="C134" s="4"/>
      <c r="D134" s="4"/>
      <c r="E134" s="4"/>
      <c r="F134" s="4"/>
      <c r="G134" s="4"/>
      <c r="H134" s="4"/>
      <c r="I134" s="4" t="s">
        <v>283</v>
      </c>
      <c r="J134" s="26" t="s">
        <v>284</v>
      </c>
      <c r="K134" s="4" t="s">
        <v>229</v>
      </c>
      <c r="L134" s="21">
        <v>33</v>
      </c>
      <c r="M134" s="21">
        <v>1</v>
      </c>
      <c r="N134" s="19"/>
    </row>
    <row r="135" spans="1:14" x14ac:dyDescent="0.3">
      <c r="A135" s="26"/>
      <c r="B135" s="26"/>
      <c r="C135" s="26"/>
      <c r="D135" s="26"/>
      <c r="E135" s="26"/>
      <c r="F135" s="26"/>
      <c r="G135" s="26"/>
      <c r="H135" s="26"/>
      <c r="I135" s="4" t="s">
        <v>285</v>
      </c>
      <c r="J135" s="26" t="s">
        <v>286</v>
      </c>
      <c r="K135" s="4" t="s">
        <v>229</v>
      </c>
      <c r="L135" s="21">
        <v>34</v>
      </c>
      <c r="M135" s="21">
        <v>1</v>
      </c>
      <c r="N135" s="19"/>
    </row>
    <row r="136" spans="1:14" x14ac:dyDescent="0.3">
      <c r="A136" s="26"/>
      <c r="B136" s="26"/>
      <c r="C136" s="26"/>
      <c r="D136" s="26"/>
      <c r="E136" s="26"/>
      <c r="F136" s="26"/>
      <c r="G136" s="26"/>
      <c r="H136" s="26"/>
      <c r="I136" s="4" t="s">
        <v>287</v>
      </c>
      <c r="J136" s="26" t="s">
        <v>288</v>
      </c>
      <c r="K136" s="4" t="s">
        <v>229</v>
      </c>
      <c r="L136" s="21">
        <v>35</v>
      </c>
      <c r="M136" s="21">
        <v>1</v>
      </c>
      <c r="N136" s="19"/>
    </row>
    <row r="137" spans="1:14" x14ac:dyDescent="0.3">
      <c r="A137" s="26"/>
      <c r="B137" s="26"/>
      <c r="C137" s="26"/>
      <c r="D137" s="26"/>
      <c r="E137" s="26"/>
      <c r="F137" s="26"/>
      <c r="G137" s="26"/>
      <c r="H137" s="26"/>
      <c r="I137" s="4" t="s">
        <v>289</v>
      </c>
      <c r="J137" s="26" t="s">
        <v>290</v>
      </c>
      <c r="K137" s="4" t="s">
        <v>229</v>
      </c>
      <c r="L137" s="21">
        <v>36</v>
      </c>
      <c r="M137" s="21"/>
      <c r="N137" s="21">
        <v>300</v>
      </c>
    </row>
    <row r="138" spans="1:14" x14ac:dyDescent="0.3">
      <c r="A138" s="26"/>
      <c r="B138" s="26"/>
      <c r="C138" s="26"/>
      <c r="D138" s="26"/>
      <c r="E138" s="26"/>
      <c r="F138" s="26"/>
      <c r="G138" s="26"/>
      <c r="H138" s="26"/>
      <c r="I138" s="4" t="s">
        <v>291</v>
      </c>
      <c r="J138" s="26" t="s">
        <v>292</v>
      </c>
      <c r="K138" s="4" t="s">
        <v>229</v>
      </c>
      <c r="L138" s="21">
        <v>37</v>
      </c>
      <c r="M138" s="21"/>
      <c r="N138" s="21">
        <v>300</v>
      </c>
    </row>
    <row r="139" spans="1:14" x14ac:dyDescent="0.3">
      <c r="A139" s="26"/>
      <c r="B139" s="26"/>
      <c r="C139" s="26"/>
      <c r="D139" s="26"/>
      <c r="E139" s="26"/>
      <c r="F139" s="26"/>
      <c r="G139" s="26"/>
      <c r="H139" s="26"/>
      <c r="I139" s="4" t="s">
        <v>293</v>
      </c>
      <c r="J139" s="26" t="s">
        <v>294</v>
      </c>
      <c r="K139" s="4" t="s">
        <v>229</v>
      </c>
      <c r="L139" s="21">
        <v>38</v>
      </c>
      <c r="M139" s="21"/>
      <c r="N139" s="21">
        <v>250</v>
      </c>
    </row>
    <row r="140" spans="1:14" x14ac:dyDescent="0.3">
      <c r="A140" s="26"/>
      <c r="B140" s="26"/>
      <c r="C140" s="26"/>
      <c r="D140" s="26"/>
      <c r="E140" s="26"/>
      <c r="F140" s="26"/>
      <c r="G140" s="26"/>
      <c r="H140" s="26"/>
      <c r="I140" s="4" t="s">
        <v>295</v>
      </c>
      <c r="J140" s="26" t="s">
        <v>296</v>
      </c>
      <c r="K140" s="4" t="s">
        <v>229</v>
      </c>
      <c r="L140" s="21">
        <v>39</v>
      </c>
      <c r="M140" s="21"/>
      <c r="N140" s="21">
        <v>250</v>
      </c>
    </row>
    <row r="141" spans="1:14" x14ac:dyDescent="0.3">
      <c r="A141" s="26"/>
      <c r="B141" s="26"/>
      <c r="C141" s="26"/>
      <c r="D141" s="26"/>
      <c r="E141" s="26"/>
      <c r="F141" s="26"/>
      <c r="G141" s="26"/>
      <c r="H141" s="26"/>
      <c r="I141" s="4" t="s">
        <v>297</v>
      </c>
      <c r="J141" s="26" t="s">
        <v>298</v>
      </c>
      <c r="K141" s="4" t="s">
        <v>229</v>
      </c>
      <c r="L141" s="21">
        <v>40</v>
      </c>
      <c r="M141" s="21">
        <v>2</v>
      </c>
      <c r="N141" s="19"/>
    </row>
    <row r="142" spans="1:14" x14ac:dyDescent="0.3">
      <c r="A142" s="26"/>
      <c r="B142" s="26"/>
      <c r="C142" s="26"/>
      <c r="D142" s="26"/>
      <c r="E142" s="26"/>
      <c r="F142" s="26"/>
      <c r="G142" s="26"/>
      <c r="H142" s="26"/>
      <c r="I142" s="4" t="s">
        <v>299</v>
      </c>
      <c r="J142" s="26" t="s">
        <v>300</v>
      </c>
      <c r="K142" s="4" t="s">
        <v>229</v>
      </c>
      <c r="L142" s="21">
        <v>41</v>
      </c>
      <c r="M142" s="21">
        <v>2</v>
      </c>
      <c r="N142" s="19"/>
    </row>
    <row r="143" spans="1:14" x14ac:dyDescent="0.3">
      <c r="A143" s="26"/>
      <c r="B143" s="26"/>
      <c r="C143" s="26"/>
      <c r="D143" s="26"/>
      <c r="E143" s="26"/>
      <c r="F143" s="26"/>
      <c r="G143" s="26"/>
      <c r="H143" s="26"/>
      <c r="I143" s="4" t="s">
        <v>301</v>
      </c>
      <c r="J143" s="26" t="s">
        <v>302</v>
      </c>
      <c r="K143" s="4" t="s">
        <v>229</v>
      </c>
      <c r="L143" s="21">
        <v>42</v>
      </c>
      <c r="M143" s="21"/>
      <c r="N143" s="21">
        <v>300</v>
      </c>
    </row>
    <row r="144" spans="1:14" x14ac:dyDescent="0.3">
      <c r="A144" s="26"/>
      <c r="B144" s="26"/>
      <c r="C144" s="26"/>
      <c r="D144" s="26"/>
      <c r="E144" s="26"/>
      <c r="F144" s="26"/>
      <c r="G144" s="26"/>
      <c r="H144" s="26"/>
      <c r="I144" s="4" t="s">
        <v>303</v>
      </c>
      <c r="J144" s="26" t="s">
        <v>304</v>
      </c>
      <c r="K144" s="4" t="s">
        <v>229</v>
      </c>
      <c r="L144" s="21">
        <v>43</v>
      </c>
      <c r="M144" s="21"/>
      <c r="N144" s="21">
        <v>300</v>
      </c>
    </row>
    <row r="145" spans="1:14" x14ac:dyDescent="0.3">
      <c r="A145" s="26"/>
      <c r="B145" s="26"/>
      <c r="C145" s="26"/>
      <c r="D145" s="26"/>
      <c r="E145" s="26"/>
      <c r="F145" s="26"/>
      <c r="G145" s="26"/>
      <c r="H145" s="26"/>
      <c r="I145" s="4" t="s">
        <v>305</v>
      </c>
      <c r="J145" s="26" t="s">
        <v>306</v>
      </c>
      <c r="K145" s="4" t="s">
        <v>229</v>
      </c>
      <c r="L145" s="21">
        <v>44</v>
      </c>
      <c r="M145" s="21">
        <v>2</v>
      </c>
      <c r="N145" s="19"/>
    </row>
    <row r="146" spans="1:14" x14ac:dyDescent="0.3">
      <c r="A146" s="26"/>
      <c r="B146" s="26"/>
      <c r="C146" s="26"/>
      <c r="D146" s="26"/>
      <c r="E146" s="26"/>
      <c r="F146" s="26"/>
      <c r="G146" s="26"/>
      <c r="H146" s="26"/>
      <c r="I146" s="4" t="s">
        <v>307</v>
      </c>
      <c r="J146" s="26" t="s">
        <v>308</v>
      </c>
      <c r="K146" s="4" t="s">
        <v>229</v>
      </c>
      <c r="L146" s="19">
        <v>45</v>
      </c>
      <c r="M146" s="21">
        <v>2.5</v>
      </c>
      <c r="N146" s="19"/>
    </row>
    <row r="147" spans="1:14" x14ac:dyDescent="0.3">
      <c r="A147" s="26"/>
      <c r="B147" s="26"/>
      <c r="C147" s="26"/>
      <c r="D147" s="26"/>
      <c r="E147" s="26"/>
      <c r="F147" s="26"/>
      <c r="G147" s="26"/>
      <c r="H147" s="26"/>
      <c r="I147" s="4" t="s">
        <v>309</v>
      </c>
      <c r="J147" s="26" t="s">
        <v>310</v>
      </c>
      <c r="K147" s="4" t="s">
        <v>229</v>
      </c>
      <c r="L147" s="19">
        <v>46</v>
      </c>
      <c r="M147" s="21">
        <v>2.5</v>
      </c>
      <c r="N147" s="19"/>
    </row>
    <row r="148" spans="1:14" x14ac:dyDescent="0.3">
      <c r="A148" s="26"/>
      <c r="B148" s="26"/>
      <c r="C148" s="26"/>
      <c r="D148" s="26"/>
      <c r="E148" s="26"/>
      <c r="F148" s="26"/>
      <c r="G148" s="26"/>
      <c r="H148" s="26"/>
      <c r="I148" s="4" t="s">
        <v>311</v>
      </c>
      <c r="J148" s="26" t="s">
        <v>312</v>
      </c>
      <c r="K148" s="4" t="s">
        <v>229</v>
      </c>
      <c r="L148" s="19">
        <v>47</v>
      </c>
      <c r="M148" s="21">
        <v>2.5</v>
      </c>
      <c r="N148" s="19"/>
    </row>
    <row r="149" spans="1:14" x14ac:dyDescent="0.3">
      <c r="A149" s="26"/>
      <c r="B149" s="26"/>
      <c r="C149" s="26"/>
      <c r="D149" s="26"/>
      <c r="E149" s="26"/>
      <c r="F149" s="26"/>
      <c r="G149" s="26"/>
      <c r="H149" s="26"/>
      <c r="I149" s="4" t="s">
        <v>313</v>
      </c>
      <c r="J149" s="26" t="s">
        <v>314</v>
      </c>
      <c r="K149" s="4" t="s">
        <v>229</v>
      </c>
      <c r="L149" s="19">
        <v>48</v>
      </c>
      <c r="M149" s="21"/>
      <c r="N149" s="21">
        <v>500</v>
      </c>
    </row>
    <row r="150" spans="1:14" ht="14.5" x14ac:dyDescent="0.35">
      <c r="A150" s="28"/>
      <c r="B150" s="28"/>
      <c r="C150" s="28"/>
      <c r="D150" s="28"/>
      <c r="E150" s="28"/>
      <c r="F150" s="28"/>
      <c r="G150" s="28"/>
      <c r="H150" s="28"/>
      <c r="I150" s="4" t="s">
        <v>315</v>
      </c>
      <c r="J150" s="4" t="s">
        <v>316</v>
      </c>
      <c r="K150" s="4" t="s">
        <v>229</v>
      </c>
      <c r="L150" s="19">
        <v>49</v>
      </c>
      <c r="M150" s="21">
        <v>2.6</v>
      </c>
      <c r="N150" s="19"/>
    </row>
    <row r="151" spans="1:14" ht="14.5" x14ac:dyDescent="0.35">
      <c r="A151" s="28"/>
      <c r="B151" s="28"/>
      <c r="C151" s="28"/>
      <c r="D151" s="28"/>
      <c r="E151" s="28"/>
      <c r="F151" s="28"/>
      <c r="G151" s="28"/>
      <c r="H151" s="28"/>
      <c r="I151" s="4" t="s">
        <v>317</v>
      </c>
      <c r="J151" s="4" t="s">
        <v>318</v>
      </c>
      <c r="K151" s="4" t="s">
        <v>229</v>
      </c>
      <c r="L151" s="19">
        <v>50</v>
      </c>
      <c r="M151" s="21"/>
      <c r="N151" s="21">
        <v>500</v>
      </c>
    </row>
    <row r="152" spans="1:14" ht="14.5" x14ac:dyDescent="0.35">
      <c r="A152" s="28"/>
      <c r="B152" s="28"/>
      <c r="C152" s="28"/>
      <c r="D152" s="28"/>
      <c r="E152" s="28"/>
      <c r="F152" s="28"/>
      <c r="G152" s="28"/>
      <c r="H152" s="28"/>
      <c r="I152" s="4" t="s">
        <v>319</v>
      </c>
      <c r="J152" s="4" t="s">
        <v>320</v>
      </c>
      <c r="K152" s="4" t="s">
        <v>229</v>
      </c>
      <c r="L152" s="19">
        <v>51</v>
      </c>
      <c r="M152" s="21"/>
      <c r="N152" s="21">
        <v>500</v>
      </c>
    </row>
    <row r="153" spans="1:14" ht="14.5" x14ac:dyDescent="0.35">
      <c r="A153" s="28"/>
      <c r="B153" s="28"/>
      <c r="C153" s="28"/>
      <c r="D153" s="28"/>
      <c r="E153" s="28"/>
      <c r="F153" s="28"/>
      <c r="G153" s="28"/>
      <c r="H153" s="28"/>
      <c r="I153" s="4" t="s">
        <v>321</v>
      </c>
      <c r="J153" s="4" t="s">
        <v>322</v>
      </c>
      <c r="K153" s="4" t="s">
        <v>229</v>
      </c>
      <c r="L153" s="19">
        <v>52</v>
      </c>
      <c r="M153" s="21">
        <v>8</v>
      </c>
      <c r="N153" s="19"/>
    </row>
    <row r="154" spans="1:14" ht="14.5" x14ac:dyDescent="0.35">
      <c r="A154" s="28"/>
      <c r="B154" s="28"/>
      <c r="C154" s="28"/>
      <c r="D154" s="28"/>
      <c r="E154" s="28"/>
      <c r="F154" s="28"/>
      <c r="G154" s="28"/>
      <c r="H154" s="28"/>
      <c r="I154" s="4" t="s">
        <v>323</v>
      </c>
      <c r="J154" s="4" t="s">
        <v>324</v>
      </c>
      <c r="K154" s="4" t="s">
        <v>229</v>
      </c>
      <c r="L154" s="19">
        <v>53</v>
      </c>
      <c r="M154" s="21">
        <v>8</v>
      </c>
      <c r="N154" s="19"/>
    </row>
    <row r="155" spans="1:14" ht="14.5" x14ac:dyDescent="0.35">
      <c r="A155" s="28"/>
      <c r="B155" s="28"/>
      <c r="C155" s="28"/>
      <c r="D155" s="28"/>
      <c r="E155" s="28"/>
      <c r="F155" s="28"/>
      <c r="G155" s="28"/>
      <c r="H155" s="28"/>
      <c r="I155" s="4" t="s">
        <v>325</v>
      </c>
      <c r="J155" s="4" t="s">
        <v>326</v>
      </c>
      <c r="K155" s="4" t="s">
        <v>229</v>
      </c>
      <c r="L155" s="19">
        <v>54</v>
      </c>
      <c r="M155" s="21">
        <v>8</v>
      </c>
      <c r="N155" s="19"/>
    </row>
    <row r="156" spans="1:14" ht="14.5" x14ac:dyDescent="0.35">
      <c r="A156" s="26"/>
      <c r="B156" s="28"/>
      <c r="C156" s="28"/>
      <c r="D156" s="28"/>
      <c r="E156" s="28"/>
      <c r="F156" s="28"/>
      <c r="G156" s="28"/>
      <c r="H156" s="28"/>
      <c r="I156" s="4" t="s">
        <v>327</v>
      </c>
      <c r="J156" s="4" t="s">
        <v>328</v>
      </c>
      <c r="K156" s="4" t="s">
        <v>229</v>
      </c>
      <c r="L156" s="19">
        <v>55</v>
      </c>
      <c r="M156" s="21">
        <v>8</v>
      </c>
      <c r="N156" s="19"/>
    </row>
    <row r="157" spans="1:14" x14ac:dyDescent="0.3">
      <c r="A157" s="26"/>
      <c r="B157" s="26"/>
      <c r="C157" s="26"/>
      <c r="D157" s="26"/>
      <c r="E157" s="26"/>
      <c r="F157" s="26"/>
      <c r="G157" s="26"/>
      <c r="H157" s="26"/>
      <c r="I157" s="4" t="s">
        <v>329</v>
      </c>
      <c r="J157" s="4" t="s">
        <v>330</v>
      </c>
      <c r="K157" s="4" t="s">
        <v>229</v>
      </c>
      <c r="L157" s="19">
        <v>56</v>
      </c>
      <c r="M157" s="21">
        <v>8</v>
      </c>
      <c r="N157" s="19"/>
    </row>
    <row r="158" spans="1:14" x14ac:dyDescent="0.3">
      <c r="A158" s="26"/>
      <c r="B158" s="26"/>
      <c r="C158" s="26"/>
      <c r="D158" s="26"/>
      <c r="E158" s="26"/>
      <c r="F158" s="26"/>
      <c r="G158" s="26"/>
      <c r="H158" s="26"/>
      <c r="I158" s="4" t="s">
        <v>331</v>
      </c>
      <c r="J158" s="4" t="s">
        <v>332</v>
      </c>
      <c r="K158" s="4" t="s">
        <v>229</v>
      </c>
      <c r="L158" s="19">
        <v>57</v>
      </c>
      <c r="M158" s="21">
        <v>8</v>
      </c>
      <c r="N158" s="19"/>
    </row>
    <row r="159" spans="1:14" x14ac:dyDescent="0.3">
      <c r="A159" s="4"/>
      <c r="B159" s="4"/>
      <c r="C159" s="4"/>
      <c r="D159" s="4"/>
      <c r="E159" s="4"/>
      <c r="F159" s="4"/>
      <c r="G159" s="4"/>
      <c r="H159" s="4"/>
      <c r="I159" s="4" t="s">
        <v>333</v>
      </c>
      <c r="J159" s="4" t="s">
        <v>334</v>
      </c>
      <c r="K159" s="4" t="s">
        <v>229</v>
      </c>
      <c r="L159" s="19">
        <v>58</v>
      </c>
      <c r="M159" s="21">
        <v>8</v>
      </c>
      <c r="N159" s="19"/>
    </row>
    <row r="160" spans="1:14" x14ac:dyDescent="0.3">
      <c r="A160" s="4"/>
      <c r="B160" s="4"/>
      <c r="C160" s="4"/>
      <c r="D160" s="4"/>
      <c r="E160" s="4"/>
      <c r="F160" s="4"/>
      <c r="G160" s="4"/>
      <c r="H160" s="4"/>
      <c r="I160" s="4" t="s">
        <v>335</v>
      </c>
      <c r="J160" s="4" t="s">
        <v>336</v>
      </c>
      <c r="K160" s="4" t="s">
        <v>229</v>
      </c>
      <c r="L160" s="19">
        <v>59</v>
      </c>
      <c r="M160" s="21">
        <v>8</v>
      </c>
      <c r="N160" s="19"/>
    </row>
    <row r="161" spans="1:14" x14ac:dyDescent="0.3">
      <c r="A161" s="4"/>
      <c r="B161" s="4"/>
      <c r="C161" s="4"/>
      <c r="D161" s="4"/>
      <c r="E161" s="4"/>
      <c r="F161" s="4"/>
      <c r="G161" s="4"/>
      <c r="H161" s="4"/>
      <c r="I161" s="4" t="s">
        <v>337</v>
      </c>
      <c r="J161" s="4" t="s">
        <v>338</v>
      </c>
      <c r="K161" s="4" t="s">
        <v>229</v>
      </c>
      <c r="L161" s="19">
        <v>60</v>
      </c>
      <c r="M161" s="21">
        <v>8</v>
      </c>
      <c r="N161" s="19"/>
    </row>
    <row r="162" spans="1:14" x14ac:dyDescent="0.3">
      <c r="A162" s="4"/>
      <c r="B162" s="4"/>
      <c r="C162" s="4"/>
      <c r="D162" s="4"/>
      <c r="E162" s="4"/>
      <c r="F162" s="4"/>
      <c r="G162" s="4"/>
      <c r="H162" s="4"/>
      <c r="I162" s="4" t="s">
        <v>339</v>
      </c>
      <c r="J162" s="4" t="s">
        <v>340</v>
      </c>
      <c r="K162" s="4" t="s">
        <v>229</v>
      </c>
      <c r="L162" s="19">
        <v>61</v>
      </c>
      <c r="M162" s="21">
        <v>5</v>
      </c>
      <c r="N162" s="19"/>
    </row>
    <row r="163" spans="1:14" x14ac:dyDescent="0.3">
      <c r="A163" s="4"/>
      <c r="B163" s="4"/>
      <c r="C163" s="4"/>
      <c r="D163" s="4"/>
      <c r="E163" s="4"/>
      <c r="F163" s="4"/>
      <c r="G163" s="4"/>
      <c r="H163" s="4"/>
      <c r="I163" s="4" t="s">
        <v>341</v>
      </c>
      <c r="J163" s="4" t="s">
        <v>342</v>
      </c>
      <c r="K163" s="4" t="s">
        <v>229</v>
      </c>
      <c r="L163" s="19">
        <v>62</v>
      </c>
      <c r="M163" s="21">
        <v>3</v>
      </c>
      <c r="N163" s="19"/>
    </row>
    <row r="164" spans="1:14" x14ac:dyDescent="0.3">
      <c r="A164" s="4"/>
      <c r="B164" s="4"/>
      <c r="C164" s="4"/>
      <c r="D164" s="4"/>
      <c r="E164" s="4"/>
      <c r="F164" s="4"/>
      <c r="G164" s="4"/>
      <c r="H164" s="4"/>
      <c r="I164" s="4" t="s">
        <v>343</v>
      </c>
      <c r="J164" s="4" t="s">
        <v>344</v>
      </c>
      <c r="K164" s="4" t="s">
        <v>229</v>
      </c>
      <c r="L164" s="21">
        <v>63</v>
      </c>
      <c r="M164" s="21">
        <v>1.5</v>
      </c>
      <c r="N164" s="4"/>
    </row>
    <row r="165" spans="1:14" x14ac:dyDescent="0.3">
      <c r="A165" s="4"/>
      <c r="B165" s="4"/>
      <c r="C165" s="4"/>
      <c r="D165" s="4"/>
      <c r="E165" s="4"/>
      <c r="F165" s="4"/>
      <c r="G165" s="4"/>
      <c r="H165" s="4"/>
      <c r="I165" s="4" t="s">
        <v>345</v>
      </c>
      <c r="J165" s="4" t="s">
        <v>346</v>
      </c>
      <c r="K165" s="4" t="s">
        <v>229</v>
      </c>
      <c r="L165" s="21">
        <v>64</v>
      </c>
      <c r="M165" s="21">
        <v>5</v>
      </c>
      <c r="N165" s="4"/>
    </row>
    <row r="166" spans="1:14" x14ac:dyDescent="0.3">
      <c r="A166" s="4"/>
      <c r="B166" s="4"/>
      <c r="C166" s="4"/>
      <c r="D166" s="4"/>
      <c r="E166" s="4"/>
      <c r="F166" s="4"/>
      <c r="G166" s="4"/>
      <c r="H166" s="4"/>
      <c r="I166" s="4" t="s">
        <v>347</v>
      </c>
      <c r="J166" s="4" t="s">
        <v>348</v>
      </c>
      <c r="K166" s="4" t="s">
        <v>229</v>
      </c>
      <c r="L166" s="21">
        <v>65</v>
      </c>
      <c r="M166" s="21">
        <v>5</v>
      </c>
      <c r="N166" s="4"/>
    </row>
    <row r="167" spans="1:14" x14ac:dyDescent="0.3">
      <c r="A167" s="4"/>
      <c r="B167" s="4"/>
      <c r="C167" s="4"/>
      <c r="D167" s="4"/>
      <c r="E167" s="4"/>
      <c r="F167" s="4"/>
      <c r="G167" s="4"/>
      <c r="H167" s="4"/>
      <c r="I167" s="4" t="s">
        <v>349</v>
      </c>
      <c r="J167" s="4" t="s">
        <v>350</v>
      </c>
      <c r="K167" s="4" t="s">
        <v>229</v>
      </c>
      <c r="L167" s="21">
        <v>66</v>
      </c>
      <c r="M167" s="21">
        <v>1.5</v>
      </c>
      <c r="N167" s="4"/>
    </row>
    <row r="168" spans="1:14" x14ac:dyDescent="0.3">
      <c r="A168" s="4"/>
      <c r="B168" s="4"/>
      <c r="C168" s="4"/>
      <c r="D168" s="4"/>
      <c r="E168" s="4"/>
      <c r="F168" s="4"/>
      <c r="G168" s="4"/>
      <c r="H168" s="4"/>
      <c r="I168" s="4" t="s">
        <v>351</v>
      </c>
      <c r="J168" s="4" t="s">
        <v>352</v>
      </c>
      <c r="K168" s="4" t="s">
        <v>229</v>
      </c>
      <c r="L168" s="19">
        <v>67</v>
      </c>
      <c r="M168" s="19">
        <v>1.5</v>
      </c>
      <c r="N168" s="4"/>
    </row>
    <row r="169" spans="1:14" x14ac:dyDescent="0.3">
      <c r="A169" s="4"/>
      <c r="B169" s="4"/>
      <c r="C169" s="4"/>
      <c r="D169" s="4"/>
      <c r="E169" s="4"/>
      <c r="F169" s="4"/>
      <c r="G169" s="4"/>
      <c r="H169" s="4"/>
      <c r="I169" s="4" t="s">
        <v>353</v>
      </c>
      <c r="J169" s="4" t="s">
        <v>439</v>
      </c>
      <c r="K169" s="4" t="s">
        <v>229</v>
      </c>
      <c r="L169" s="19">
        <v>68</v>
      </c>
      <c r="M169" s="4"/>
      <c r="N169" s="19">
        <v>2</v>
      </c>
    </row>
    <row r="170" spans="1:14" x14ac:dyDescent="0.3">
      <c r="A170" s="4"/>
      <c r="B170" s="4"/>
      <c r="C170" s="4"/>
      <c r="D170" s="4"/>
      <c r="E170" s="4"/>
      <c r="F170" s="4"/>
      <c r="G170" s="4"/>
      <c r="H170" s="4"/>
      <c r="I170" s="4" t="s">
        <v>354</v>
      </c>
      <c r="J170" s="4" t="s">
        <v>440</v>
      </c>
      <c r="K170" s="4" t="s">
        <v>229</v>
      </c>
      <c r="L170" s="19">
        <v>69</v>
      </c>
      <c r="M170" s="4"/>
      <c r="N170" s="19">
        <v>2</v>
      </c>
    </row>
    <row r="171" spans="1:14" x14ac:dyDescent="0.3">
      <c r="A171" s="4"/>
      <c r="B171" s="4"/>
      <c r="C171" s="4"/>
      <c r="D171" s="4"/>
      <c r="E171" s="4"/>
      <c r="F171" s="4"/>
      <c r="G171" s="4"/>
      <c r="H171" s="4"/>
      <c r="I171" s="4" t="s">
        <v>355</v>
      </c>
      <c r="J171" s="4" t="s">
        <v>441</v>
      </c>
      <c r="K171" s="4" t="s">
        <v>229</v>
      </c>
      <c r="L171" s="19">
        <v>70</v>
      </c>
      <c r="M171" s="4"/>
      <c r="N171" s="19">
        <v>200</v>
      </c>
    </row>
    <row r="172" spans="1:14" x14ac:dyDescent="0.3">
      <c r="A172" s="4"/>
      <c r="B172" s="4"/>
      <c r="C172" s="4"/>
      <c r="D172" s="4"/>
      <c r="E172" s="4"/>
      <c r="F172" s="4"/>
      <c r="G172" s="4"/>
      <c r="H172" s="4"/>
      <c r="I172" s="4" t="s">
        <v>419</v>
      </c>
      <c r="J172" s="4" t="s">
        <v>418</v>
      </c>
      <c r="K172" s="4" t="s">
        <v>229</v>
      </c>
      <c r="L172" s="19">
        <v>71</v>
      </c>
      <c r="M172" s="19">
        <v>1</v>
      </c>
      <c r="N172" s="4"/>
    </row>
    <row r="173" spans="1:14" x14ac:dyDescent="0.3">
      <c r="A173" s="4"/>
      <c r="B173" s="4"/>
      <c r="C173" s="4"/>
      <c r="D173" s="4"/>
      <c r="E173" s="4"/>
      <c r="F173" s="4"/>
      <c r="G173" s="4"/>
      <c r="H173" s="4"/>
      <c r="I173" s="4" t="s">
        <v>433</v>
      </c>
      <c r="J173" s="4" t="s">
        <v>432</v>
      </c>
      <c r="K173" s="4" t="s">
        <v>229</v>
      </c>
      <c r="L173" s="19">
        <v>72</v>
      </c>
      <c r="M173" s="19">
        <v>8</v>
      </c>
      <c r="N173" s="4"/>
    </row>
    <row r="174" spans="1:14" x14ac:dyDescent="0.3">
      <c r="A174" s="4"/>
      <c r="B174" s="4"/>
      <c r="C174" s="4"/>
      <c r="D174" s="4"/>
      <c r="E174" s="4"/>
      <c r="F174" s="4"/>
      <c r="G174" s="4"/>
      <c r="H174" s="4"/>
      <c r="I174" s="4" t="s">
        <v>463</v>
      </c>
      <c r="J174" s="4" t="s">
        <v>462</v>
      </c>
      <c r="K174" s="4" t="s">
        <v>229</v>
      </c>
      <c r="L174" s="19">
        <v>73</v>
      </c>
      <c r="M174" s="19">
        <v>5</v>
      </c>
      <c r="N174" s="4"/>
    </row>
    <row r="175" spans="1:14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2.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ht="15" thickBo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8"/>
      <c r="M177" s="8">
        <f>SUM(M115:M174)</f>
        <v>161.30000000000001</v>
      </c>
      <c r="N177" s="32">
        <f>ROUND(SUM(N115:N168)/1024,2)</f>
        <v>5.08</v>
      </c>
    </row>
    <row r="178" spans="1:14" ht="15" thickBo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33" t="s">
        <v>222</v>
      </c>
      <c r="M178" s="33" t="str">
        <f>SUM(M177:N177)&amp; " TB_Approx"</f>
        <v>166.38 TB_Approx</v>
      </c>
      <c r="N178" s="34"/>
    </row>
    <row r="179" spans="1:14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31"/>
      <c r="M179" s="31"/>
      <c r="N179" s="31"/>
    </row>
    <row r="180" spans="1:14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3">
      <c r="A181" s="48">
        <v>3</v>
      </c>
      <c r="B181" s="46" t="s">
        <v>356</v>
      </c>
      <c r="C181" s="4" t="s">
        <v>357</v>
      </c>
      <c r="D181" s="4" t="s">
        <v>358</v>
      </c>
      <c r="E181" s="4"/>
      <c r="F181" s="17" t="s">
        <v>16</v>
      </c>
      <c r="G181" s="18" t="s">
        <v>17</v>
      </c>
      <c r="H181" s="4" t="s">
        <v>18</v>
      </c>
      <c r="I181" s="4" t="s">
        <v>359</v>
      </c>
      <c r="J181" s="4" t="s">
        <v>360</v>
      </c>
      <c r="K181" s="4" t="s">
        <v>361</v>
      </c>
      <c r="L181" s="19">
        <v>1</v>
      </c>
      <c r="M181" s="19">
        <v>2</v>
      </c>
      <c r="N181" s="4"/>
    </row>
    <row r="182" spans="1:14" x14ac:dyDescent="0.3">
      <c r="A182" s="49"/>
      <c r="B182" s="47"/>
      <c r="C182" s="4" t="s">
        <v>357</v>
      </c>
      <c r="D182" s="4" t="s">
        <v>362</v>
      </c>
      <c r="E182" s="4"/>
      <c r="F182" s="17" t="s">
        <v>16</v>
      </c>
      <c r="G182" s="18" t="s">
        <v>22</v>
      </c>
      <c r="H182" s="4" t="s">
        <v>23</v>
      </c>
      <c r="I182" s="4" t="s">
        <v>363</v>
      </c>
      <c r="J182" s="4" t="s">
        <v>364</v>
      </c>
      <c r="K182" s="4" t="s">
        <v>361</v>
      </c>
      <c r="L182" s="19">
        <v>2</v>
      </c>
      <c r="M182" s="19">
        <v>2</v>
      </c>
      <c r="N182" s="4"/>
    </row>
    <row r="183" spans="1:14" x14ac:dyDescent="0.3">
      <c r="A183" s="49"/>
      <c r="B183" s="47"/>
      <c r="C183" s="4" t="s">
        <v>365</v>
      </c>
      <c r="D183" s="4" t="s">
        <v>366</v>
      </c>
      <c r="E183" s="4"/>
      <c r="F183" s="17" t="s">
        <v>16</v>
      </c>
      <c r="G183" s="18" t="s">
        <v>17</v>
      </c>
      <c r="H183" s="4" t="s">
        <v>18</v>
      </c>
      <c r="I183" s="4" t="s">
        <v>367</v>
      </c>
      <c r="J183" s="4" t="s">
        <v>368</v>
      </c>
      <c r="K183" s="4" t="s">
        <v>361</v>
      </c>
      <c r="L183" s="19">
        <v>3</v>
      </c>
      <c r="M183" s="19">
        <v>2</v>
      </c>
      <c r="N183" s="4"/>
    </row>
    <row r="184" spans="1:14" x14ac:dyDescent="0.3">
      <c r="A184" s="49"/>
      <c r="B184" s="47"/>
      <c r="C184" s="4" t="s">
        <v>365</v>
      </c>
      <c r="D184" s="4" t="s">
        <v>369</v>
      </c>
      <c r="E184" s="4"/>
      <c r="F184" s="17" t="s">
        <v>16</v>
      </c>
      <c r="G184" s="18" t="s">
        <v>22</v>
      </c>
      <c r="H184" s="4" t="s">
        <v>23</v>
      </c>
      <c r="I184" s="4" t="s">
        <v>370</v>
      </c>
      <c r="J184" s="4" t="s">
        <v>371</v>
      </c>
      <c r="K184" s="4" t="s">
        <v>361</v>
      </c>
      <c r="L184" s="19">
        <v>4</v>
      </c>
      <c r="M184" s="19">
        <v>2</v>
      </c>
      <c r="N184" s="4"/>
    </row>
    <row r="185" spans="1:14" x14ac:dyDescent="0.3">
      <c r="A185" s="49"/>
      <c r="B185" s="47"/>
      <c r="C185" s="4" t="s">
        <v>372</v>
      </c>
      <c r="D185" s="4" t="s">
        <v>373</v>
      </c>
      <c r="E185" s="4"/>
      <c r="F185" s="17" t="s">
        <v>16</v>
      </c>
      <c r="G185" s="18" t="s">
        <v>17</v>
      </c>
      <c r="H185" s="4" t="s">
        <v>18</v>
      </c>
      <c r="I185" s="4" t="s">
        <v>374</v>
      </c>
      <c r="J185" s="4" t="s">
        <v>375</v>
      </c>
      <c r="K185" s="4" t="s">
        <v>361</v>
      </c>
      <c r="L185" s="19">
        <v>5</v>
      </c>
      <c r="M185" s="19">
        <v>2</v>
      </c>
      <c r="N185" s="4"/>
    </row>
    <row r="186" spans="1:14" x14ac:dyDescent="0.3">
      <c r="A186" s="49"/>
      <c r="B186" s="47"/>
      <c r="C186" s="4" t="s">
        <v>372</v>
      </c>
      <c r="D186" s="4" t="s">
        <v>376</v>
      </c>
      <c r="E186" s="4"/>
      <c r="F186" s="17" t="s">
        <v>16</v>
      </c>
      <c r="G186" s="18" t="s">
        <v>22</v>
      </c>
      <c r="H186" s="4" t="s">
        <v>23</v>
      </c>
      <c r="I186" s="4"/>
      <c r="J186" s="4"/>
      <c r="K186" s="4"/>
      <c r="L186" s="4"/>
      <c r="M186" s="4"/>
      <c r="N186" s="4"/>
    </row>
    <row r="187" spans="1:14" x14ac:dyDescent="0.3">
      <c r="A187" s="49"/>
      <c r="B187" s="47"/>
      <c r="C187" s="4" t="s">
        <v>377</v>
      </c>
      <c r="D187" s="4" t="s">
        <v>378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3">
      <c r="A188" s="49"/>
      <c r="B188" s="47"/>
      <c r="C188" s="4" t="s">
        <v>377</v>
      </c>
      <c r="D188" s="4" t="s">
        <v>379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3">
      <c r="A189" s="49"/>
      <c r="B189" s="47"/>
      <c r="C189" s="4" t="s">
        <v>380</v>
      </c>
      <c r="D189" s="4" t="s">
        <v>381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3">
      <c r="A190" s="49"/>
      <c r="B190" s="47"/>
      <c r="C190" s="4" t="s">
        <v>380</v>
      </c>
      <c r="D190" s="4" t="s">
        <v>382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3">
      <c r="I192" s="3"/>
      <c r="J192" s="3"/>
      <c r="K192" s="3"/>
      <c r="L192" s="2"/>
      <c r="M192" s="2"/>
    </row>
    <row r="193" spans="9:14" ht="12.5" thickBot="1" x14ac:dyDescent="0.35">
      <c r="L193" s="1"/>
      <c r="M193" s="1"/>
    </row>
    <row r="194" spans="9:14" ht="15" thickBot="1" x14ac:dyDescent="0.4">
      <c r="L194" s="8"/>
      <c r="M194" s="8"/>
      <c r="N194" s="8"/>
    </row>
    <row r="195" spans="9:14" ht="15" thickBot="1" x14ac:dyDescent="0.4">
      <c r="L195" s="8" t="s">
        <v>222</v>
      </c>
      <c r="M195" s="8" t="str">
        <f>SUM(M181:N185)&amp; " TB_Approx"</f>
        <v>10 TB_Approx</v>
      </c>
      <c r="N195" s="8"/>
    </row>
    <row r="204" spans="9:14" x14ac:dyDescent="0.3">
      <c r="I204" s="2"/>
    </row>
    <row r="205" spans="9:14" x14ac:dyDescent="0.3">
      <c r="I205" s="2"/>
      <c r="K205" s="2"/>
    </row>
    <row r="206" spans="9:14" x14ac:dyDescent="0.3">
      <c r="I206" s="2"/>
      <c r="K206" s="2"/>
    </row>
    <row r="207" spans="9:14" x14ac:dyDescent="0.3">
      <c r="I207" s="2"/>
      <c r="K207" s="2"/>
    </row>
    <row r="208" spans="9:14" x14ac:dyDescent="0.3">
      <c r="I208" s="2"/>
      <c r="K208" s="2"/>
    </row>
    <row r="209" spans="9:11" x14ac:dyDescent="0.3">
      <c r="I209" s="2"/>
      <c r="K209" s="2"/>
    </row>
    <row r="210" spans="9:11" x14ac:dyDescent="0.3">
      <c r="I210" s="2"/>
      <c r="K210" s="2"/>
    </row>
    <row r="211" spans="9:11" x14ac:dyDescent="0.3">
      <c r="I211" s="6"/>
      <c r="K211" s="2"/>
    </row>
    <row r="212" spans="9:11" x14ac:dyDescent="0.3">
      <c r="I212" s="2"/>
      <c r="K212" s="2"/>
    </row>
    <row r="213" spans="9:11" x14ac:dyDescent="0.3">
      <c r="I213" s="2"/>
      <c r="K213" s="2"/>
    </row>
    <row r="214" spans="9:11" x14ac:dyDescent="0.3">
      <c r="I214" s="2"/>
      <c r="K214" s="2"/>
    </row>
    <row r="215" spans="9:11" x14ac:dyDescent="0.3">
      <c r="I215" s="2"/>
      <c r="K215" s="2"/>
    </row>
    <row r="216" spans="9:11" x14ac:dyDescent="0.3">
      <c r="I216" s="2"/>
      <c r="K216" s="2"/>
    </row>
    <row r="217" spans="9:11" x14ac:dyDescent="0.3">
      <c r="I217" s="2"/>
      <c r="K217" s="2"/>
    </row>
    <row r="218" spans="9:11" x14ac:dyDescent="0.3">
      <c r="I218" s="2"/>
      <c r="K218" s="2"/>
    </row>
    <row r="219" spans="9:11" x14ac:dyDescent="0.3">
      <c r="I219" s="2"/>
      <c r="K219" s="6"/>
    </row>
    <row r="220" spans="9:11" x14ac:dyDescent="0.3">
      <c r="I220" s="2"/>
    </row>
    <row r="221" spans="9:11" x14ac:dyDescent="0.3">
      <c r="I221" s="2"/>
    </row>
    <row r="222" spans="9:11" x14ac:dyDescent="0.3">
      <c r="I222" s="2"/>
    </row>
    <row r="223" spans="9:11" x14ac:dyDescent="0.3">
      <c r="I223" s="2"/>
    </row>
    <row r="224" spans="9:11" x14ac:dyDescent="0.3">
      <c r="I224" s="2"/>
    </row>
    <row r="225" spans="9:10" x14ac:dyDescent="0.3">
      <c r="I225" s="2"/>
    </row>
    <row r="226" spans="9:10" x14ac:dyDescent="0.3">
      <c r="I226" s="2"/>
    </row>
    <row r="227" spans="9:10" x14ac:dyDescent="0.3">
      <c r="I227" s="2"/>
    </row>
    <row r="228" spans="9:10" x14ac:dyDescent="0.3">
      <c r="I228" s="2"/>
    </row>
    <row r="229" spans="9:10" x14ac:dyDescent="0.3">
      <c r="I229" s="2"/>
    </row>
    <row r="230" spans="9:10" x14ac:dyDescent="0.3">
      <c r="I230" s="2"/>
    </row>
    <row r="231" spans="9:10" x14ac:dyDescent="0.3">
      <c r="I231" s="2"/>
    </row>
    <row r="232" spans="9:10" x14ac:dyDescent="0.3">
      <c r="I232" s="2"/>
      <c r="J232" s="5"/>
    </row>
    <row r="233" spans="9:10" x14ac:dyDescent="0.3">
      <c r="I233" s="2"/>
      <c r="J233" s="5"/>
    </row>
    <row r="234" spans="9:10" x14ac:dyDescent="0.3">
      <c r="I234" s="2"/>
      <c r="J234" s="5"/>
    </row>
    <row r="235" spans="9:10" x14ac:dyDescent="0.3">
      <c r="I235" s="2"/>
      <c r="J235" s="5"/>
    </row>
    <row r="236" spans="9:10" x14ac:dyDescent="0.3">
      <c r="I236" s="2"/>
      <c r="J236" s="5"/>
    </row>
    <row r="237" spans="9:10" x14ac:dyDescent="0.3">
      <c r="I237" s="2"/>
      <c r="J237" s="5"/>
    </row>
    <row r="238" spans="9:10" x14ac:dyDescent="0.3">
      <c r="J238" s="5"/>
    </row>
    <row r="239" spans="9:10" x14ac:dyDescent="0.3">
      <c r="J239" s="5"/>
    </row>
    <row r="240" spans="9:10" x14ac:dyDescent="0.3">
      <c r="J240" s="5"/>
    </row>
    <row r="241" spans="10:12" x14ac:dyDescent="0.3">
      <c r="J241" s="5"/>
    </row>
    <row r="242" spans="10:12" x14ac:dyDescent="0.3">
      <c r="J242" s="5"/>
    </row>
    <row r="243" spans="10:12" x14ac:dyDescent="0.3">
      <c r="J243" s="5"/>
    </row>
    <row r="244" spans="10:12" x14ac:dyDescent="0.3">
      <c r="J244" s="5"/>
    </row>
    <row r="245" spans="10:12" x14ac:dyDescent="0.3">
      <c r="J245" s="5"/>
    </row>
    <row r="246" spans="10:12" x14ac:dyDescent="0.3">
      <c r="J246" s="5"/>
    </row>
    <row r="247" spans="10:12" x14ac:dyDescent="0.3">
      <c r="J247" s="5"/>
    </row>
    <row r="248" spans="10:12" x14ac:dyDescent="0.3">
      <c r="J248" s="5"/>
    </row>
    <row r="249" spans="10:12" x14ac:dyDescent="0.3">
      <c r="J249" s="5"/>
    </row>
    <row r="250" spans="10:12" x14ac:dyDescent="0.3">
      <c r="J250" s="5"/>
    </row>
    <row r="251" spans="10:12" x14ac:dyDescent="0.3">
      <c r="J251" s="5"/>
      <c r="L251" s="10"/>
    </row>
    <row r="252" spans="10:12" x14ac:dyDescent="0.3">
      <c r="J252" s="5"/>
    </row>
    <row r="253" spans="10:12" x14ac:dyDescent="0.3">
      <c r="J253" s="5"/>
    </row>
    <row r="254" spans="10:12" x14ac:dyDescent="0.3">
      <c r="J254" s="5"/>
    </row>
    <row r="255" spans="10:12" x14ac:dyDescent="0.3">
      <c r="J255" s="5"/>
    </row>
    <row r="256" spans="10:12" x14ac:dyDescent="0.3">
      <c r="J256" s="5"/>
    </row>
    <row r="257" spans="10:12" x14ac:dyDescent="0.3">
      <c r="J257" s="5"/>
      <c r="L257" s="10"/>
    </row>
    <row r="258" spans="10:12" x14ac:dyDescent="0.3">
      <c r="J258" s="5"/>
    </row>
    <row r="259" spans="10:12" x14ac:dyDescent="0.3">
      <c r="J259" s="5"/>
    </row>
    <row r="260" spans="10:12" x14ac:dyDescent="0.3">
      <c r="J260" s="5"/>
    </row>
    <row r="261" spans="10:12" x14ac:dyDescent="0.3">
      <c r="J261" s="5"/>
    </row>
    <row r="262" spans="10:12" x14ac:dyDescent="0.3">
      <c r="J262" s="5"/>
      <c r="L262" s="9"/>
    </row>
    <row r="263" spans="10:12" x14ac:dyDescent="0.3">
      <c r="J263" s="5"/>
      <c r="L263" s="11"/>
    </row>
    <row r="264" spans="10:12" x14ac:dyDescent="0.3">
      <c r="J264" s="5"/>
    </row>
    <row r="265" spans="10:12" x14ac:dyDescent="0.3">
      <c r="J265" s="5"/>
    </row>
    <row r="266" spans="10:12" x14ac:dyDescent="0.3">
      <c r="J266" s="5"/>
      <c r="L266" s="12"/>
    </row>
    <row r="267" spans="10:12" x14ac:dyDescent="0.3">
      <c r="J267" s="5"/>
    </row>
    <row r="268" spans="10:12" x14ac:dyDescent="0.3">
      <c r="J268" s="5"/>
    </row>
    <row r="269" spans="10:12" x14ac:dyDescent="0.3">
      <c r="J269" s="5"/>
    </row>
    <row r="270" spans="10:12" x14ac:dyDescent="0.3">
      <c r="J270" s="5"/>
    </row>
    <row r="271" spans="10:12" x14ac:dyDescent="0.3">
      <c r="J271" s="5"/>
    </row>
    <row r="272" spans="10:12" x14ac:dyDescent="0.3">
      <c r="J272" s="5"/>
    </row>
    <row r="273" spans="10:12" x14ac:dyDescent="0.3">
      <c r="J273" s="5"/>
    </row>
    <row r="274" spans="10:12" x14ac:dyDescent="0.3">
      <c r="J274" s="5"/>
      <c r="L274" s="10"/>
    </row>
    <row r="275" spans="10:12" x14ac:dyDescent="0.3">
      <c r="J275" s="5"/>
    </row>
    <row r="276" spans="10:12" x14ac:dyDescent="0.3">
      <c r="J276" s="5"/>
      <c r="L276" s="13"/>
    </row>
    <row r="277" spans="10:12" x14ac:dyDescent="0.3">
      <c r="J277" s="5"/>
    </row>
    <row r="278" spans="10:12" x14ac:dyDescent="0.3">
      <c r="J278" s="5"/>
    </row>
    <row r="279" spans="10:12" x14ac:dyDescent="0.3">
      <c r="J279" s="5"/>
    </row>
    <row r="280" spans="10:12" x14ac:dyDescent="0.3">
      <c r="J280" s="5"/>
      <c r="L280" s="2"/>
    </row>
    <row r="281" spans="10:12" x14ac:dyDescent="0.3">
      <c r="J281" s="5"/>
      <c r="L281" s="2"/>
    </row>
    <row r="282" spans="10:12" x14ac:dyDescent="0.3">
      <c r="J282" s="5"/>
    </row>
    <row r="283" spans="10:12" x14ac:dyDescent="0.3">
      <c r="J283" s="5"/>
    </row>
    <row r="284" spans="10:12" x14ac:dyDescent="0.3">
      <c r="J284" s="5"/>
    </row>
    <row r="285" spans="10:12" x14ac:dyDescent="0.3">
      <c r="J285" s="5"/>
    </row>
    <row r="286" spans="10:12" x14ac:dyDescent="0.3">
      <c r="J286" s="5"/>
    </row>
    <row r="287" spans="10:12" x14ac:dyDescent="0.3">
      <c r="J287" s="5"/>
    </row>
    <row r="288" spans="10:12" x14ac:dyDescent="0.3">
      <c r="J288" s="5"/>
    </row>
    <row r="289" spans="10:10" x14ac:dyDescent="0.3">
      <c r="J289" s="5"/>
    </row>
    <row r="290" spans="10:10" x14ac:dyDescent="0.3">
      <c r="J290" s="5"/>
    </row>
    <row r="291" spans="10:10" x14ac:dyDescent="0.3">
      <c r="J291" s="5"/>
    </row>
    <row r="292" spans="10:10" x14ac:dyDescent="0.3">
      <c r="J292" s="5"/>
    </row>
    <row r="293" spans="10:10" x14ac:dyDescent="0.3">
      <c r="J293" s="5"/>
    </row>
    <row r="294" spans="10:10" x14ac:dyDescent="0.3">
      <c r="J294" s="5"/>
    </row>
    <row r="295" spans="10:10" x14ac:dyDescent="0.3">
      <c r="J295" s="5"/>
    </row>
    <row r="296" spans="10:10" x14ac:dyDescent="0.3">
      <c r="J296" s="5"/>
    </row>
    <row r="297" spans="10:10" x14ac:dyDescent="0.3">
      <c r="J297" s="5"/>
    </row>
    <row r="298" spans="10:10" x14ac:dyDescent="0.3">
      <c r="J298" s="5"/>
    </row>
  </sheetData>
  <autoFilter ref="B4:B298" xr:uid="{527F0442-2076-4CE2-8ED9-9337BE23E70B}"/>
  <mergeCells count="7">
    <mergeCell ref="A1:F1"/>
    <mergeCell ref="B181:B190"/>
    <mergeCell ref="A181:A190"/>
    <mergeCell ref="A5:A24"/>
    <mergeCell ref="B5:B24"/>
    <mergeCell ref="B115:B132"/>
    <mergeCell ref="A115:A132"/>
  </mergeCells>
  <conditionalFormatting sqref="D2:D1048576">
    <cfRule type="duplicateValues" dxfId="6" priority="8"/>
  </conditionalFormatting>
  <conditionalFormatting sqref="K55:L55">
    <cfRule type="duplicateValues" dxfId="5" priority="23"/>
    <cfRule type="duplicateValues" dxfId="4" priority="25"/>
  </conditionalFormatting>
  <conditionalFormatting sqref="K179:L180 A168:B180 K177:K178 K186:L191 A191:B191 E187:H191 E181:E186 K168:L168 E168:H180">
    <cfRule type="duplicateValues" dxfId="3" priority="21"/>
    <cfRule type="duplicateValues" dxfId="2" priority="22"/>
  </conditionalFormatting>
  <conditionalFormatting sqref="L164:L167 A164:B167 E164:H167">
    <cfRule type="duplicateValues" dxfId="1" priority="24"/>
    <cfRule type="duplicateValues" dxfId="0" priority="26"/>
  </conditionalFormatting>
  <hyperlinks>
    <hyperlink ref="J115" r:id="rId1" location="/storage/volumeinformation/volumes/1f39d321-38e5-4b35-bab9-455cc45c61a3" display="https://10.13.10.83/ - /storage/volumeinformation/volumes/1f39d321-38e5-4b35-bab9-455cc45c61a3" xr:uid="{E5132E2B-DA33-4199-9561-45F06029596D}"/>
    <hyperlink ref="J116:J117" r:id="rId2" location="/storage/volumeinformation/volumes/1f39d321-38e5-4b35-bab9-455cc45c61a3" display="https://10.13.10.83/ - /storage/volumeinformation/volumes/1f39d321-38e5-4b35-bab9-455cc45c61a3" xr:uid="{0EC00D08-4ABF-423C-9DD6-8C15CA4D3781}"/>
    <hyperlink ref="J127" r:id="rId3" location="/storage/volumeinformation/volumes/03a3be20-70b9-4d23-af51-dddaa69c2c41" display="https://10.13.10.83/ - /storage/volumeinformation/volumes/03a3be20-70b9-4d23-af51-dddaa69c2c41" xr:uid="{63BC8716-B8E4-4261-8F48-E3D8F00D4BFE}"/>
    <hyperlink ref="J133" r:id="rId4" location="/storage/volumeinformation/volumes/86056922-51d3-4ba6-9462-11be0cb7c38a" display="https://10.13.10.83/ - /storage/volumeinformation/volumes/86056922-51d3-4ba6-9462-11be0cb7c38a" xr:uid="{B7BB8C5A-F22A-47BB-B78E-42D483925C4A}"/>
    <hyperlink ref="J134" r:id="rId5" location="/storage/volumeinformation/volumes/520ed3e3-478b-4b50-8b90-7cfae824f153" display="https://10.13.10.83/ - /storage/volumeinformation/volumes/520ed3e3-478b-4b50-8b90-7cfae824f153" xr:uid="{EF1E7A9A-B806-4A4C-99B7-3164B71BC18D}"/>
    <hyperlink ref="J135" r:id="rId6" location="/storage/volumeinformation/volumes/520ed3e3-478b-4b50-8b90-7cfae824f153" display="https://10.13.10.83/ - /storage/volumeinformation/volumes/520ed3e3-478b-4b50-8b90-7cfae824f153" xr:uid="{07DA150F-D4A1-42CA-BF22-B87DDE0A6599}"/>
    <hyperlink ref="J136" r:id="rId7" location="/storage/volumeinformation/volumes/520ed3e3-478b-4b50-8b90-7cfae824f153" display="https://10.13.10.83/ - /storage/volumeinformation/volumes/520ed3e3-478b-4b50-8b90-7cfae824f153" xr:uid="{11F25DB9-CBA5-4085-8DDE-EE50D107DE7F}"/>
    <hyperlink ref="C123" r:id="rId8" location="/compute/hostinformation/hosts/9f251b4a-ed79-49fd-9244-64ba17938121" display="https://10.13.10.83/ - /compute/hostinformation/hosts/9f251b4a-ed79-49fd-9244-64ba17938121" xr:uid="{41139228-A212-4AFA-94BF-DF1179951376}"/>
    <hyperlink ref="C124" r:id="rId9" location="/compute/hostinformation/hosts/9f251b4a-ed79-49fd-9244-64ba17938121" display="https://10.13.10.83/ - /compute/hostinformation/hosts/9f251b4a-ed79-49fd-9244-64ba17938121" xr:uid="{5D5B8B6F-19D5-4EBC-A8AF-00D44A552E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ACX_NCC-Strg-DC Power Store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Kumar</dc:creator>
  <cp:keywords/>
  <dc:description/>
  <cp:lastModifiedBy>Sandeep Kumar</cp:lastModifiedBy>
  <cp:revision/>
  <dcterms:created xsi:type="dcterms:W3CDTF">2026-04-21T10:37:18Z</dcterms:created>
  <dcterms:modified xsi:type="dcterms:W3CDTF">2026-07-03T09:22:09Z</dcterms:modified>
  <cp:category/>
  <cp:contentStatus/>
</cp:coreProperties>
</file>